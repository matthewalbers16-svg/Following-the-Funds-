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OneDrive\Documents\Data\"/>
    </mc:Choice>
  </mc:AlternateContent>
  <xr:revisionPtr revIDLastSave="0" documentId="13_ncr:1_{1B536412-B305-4E5D-9DC9-7BAF87AA0145}" xr6:coauthVersionLast="47" xr6:coauthVersionMax="47" xr10:uidLastSave="{00000000-0000-0000-0000-000000000000}"/>
  <bookViews>
    <workbookView xWindow="-108" yWindow="-108" windowWidth="23256" windowHeight="12456" xr2:uid="{1DBAD3D6-EA21-4CA8-ACD3-E65D1F41F517}"/>
  </bookViews>
  <sheets>
    <sheet name="ReadMe" sheetId="3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N2" i="1"/>
  <c r="H2" i="1"/>
  <c r="R35" i="1"/>
  <c r="R36" i="1"/>
  <c r="R37" i="1"/>
  <c r="R47" i="1"/>
  <c r="R48" i="1"/>
  <c r="R49" i="1"/>
  <c r="R71" i="1"/>
  <c r="R72" i="1"/>
  <c r="R73" i="1"/>
  <c r="R83" i="1"/>
  <c r="R84" i="1"/>
  <c r="R8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R19" i="1" s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R34" i="1" s="1"/>
  <c r="L35" i="1"/>
  <c r="L36" i="1"/>
  <c r="L37" i="1"/>
  <c r="L38" i="1"/>
  <c r="L39" i="1"/>
  <c r="L40" i="1"/>
  <c r="L41" i="1"/>
  <c r="L42" i="1"/>
  <c r="L43" i="1"/>
  <c r="R43" i="1" s="1"/>
  <c r="L44" i="1"/>
  <c r="L45" i="1"/>
  <c r="L46" i="1"/>
  <c r="R46" i="1" s="1"/>
  <c r="L47" i="1"/>
  <c r="L48" i="1"/>
  <c r="L49" i="1"/>
  <c r="L50" i="1"/>
  <c r="L51" i="1"/>
  <c r="L52" i="1"/>
  <c r="L53" i="1"/>
  <c r="L54" i="1"/>
  <c r="L55" i="1"/>
  <c r="R55" i="1" s="1"/>
  <c r="L56" i="1"/>
  <c r="L57" i="1"/>
  <c r="L58" i="1"/>
  <c r="L59" i="1"/>
  <c r="L60" i="1"/>
  <c r="L61" i="1"/>
  <c r="L62" i="1"/>
  <c r="L63" i="1"/>
  <c r="L64" i="1"/>
  <c r="L65" i="1"/>
  <c r="L66" i="1"/>
  <c r="L67" i="1"/>
  <c r="R67" i="1" s="1"/>
  <c r="L68" i="1"/>
  <c r="L69" i="1"/>
  <c r="L70" i="1"/>
  <c r="R70" i="1" s="1"/>
  <c r="L71" i="1"/>
  <c r="L72" i="1"/>
  <c r="L73" i="1"/>
  <c r="L74" i="1"/>
  <c r="L75" i="1"/>
  <c r="L76" i="1"/>
  <c r="L77" i="1"/>
  <c r="L78" i="1"/>
  <c r="L79" i="1"/>
  <c r="R79" i="1" s="1"/>
  <c r="L80" i="1"/>
  <c r="L81" i="1"/>
  <c r="L82" i="1"/>
  <c r="R82" i="1" s="1"/>
  <c r="L83" i="1"/>
  <c r="L84" i="1"/>
  <c r="L85" i="1"/>
  <c r="L86" i="1"/>
  <c r="L87" i="1"/>
  <c r="L88" i="1"/>
  <c r="L89" i="1"/>
  <c r="L90" i="1"/>
  <c r="L91" i="1"/>
  <c r="R91" i="1" s="1"/>
  <c r="L92" i="1"/>
  <c r="L93" i="1"/>
  <c r="L94" i="1"/>
  <c r="L95" i="1"/>
  <c r="L96" i="1"/>
  <c r="L97" i="1"/>
  <c r="L98" i="1"/>
  <c r="L99" i="1"/>
  <c r="L100" i="1"/>
  <c r="L101" i="1"/>
  <c r="L2" i="1"/>
  <c r="F3" i="1"/>
  <c r="R3" i="1" s="1"/>
  <c r="F4" i="1"/>
  <c r="R4" i="1" s="1"/>
  <c r="F5" i="1"/>
  <c r="R5" i="1" s="1"/>
  <c r="F6" i="1"/>
  <c r="R6" i="1" s="1"/>
  <c r="F7" i="1"/>
  <c r="F8" i="1"/>
  <c r="F9" i="1"/>
  <c r="F10" i="1"/>
  <c r="F11" i="1"/>
  <c r="R11" i="1" s="1"/>
  <c r="F12" i="1"/>
  <c r="R12" i="1" s="1"/>
  <c r="F13" i="1"/>
  <c r="R13" i="1" s="1"/>
  <c r="F14" i="1"/>
  <c r="R14" i="1" s="1"/>
  <c r="F15" i="1"/>
  <c r="R15" i="1" s="1"/>
  <c r="F16" i="1"/>
  <c r="R16" i="1" s="1"/>
  <c r="F17" i="1"/>
  <c r="R17" i="1" s="1"/>
  <c r="F18" i="1"/>
  <c r="R18" i="1" s="1"/>
  <c r="F19" i="1"/>
  <c r="F20" i="1"/>
  <c r="F21" i="1"/>
  <c r="F22" i="1"/>
  <c r="R22" i="1" s="1"/>
  <c r="F23" i="1"/>
  <c r="R23" i="1" s="1"/>
  <c r="F24" i="1"/>
  <c r="R24" i="1" s="1"/>
  <c r="F25" i="1"/>
  <c r="R25" i="1" s="1"/>
  <c r="F26" i="1"/>
  <c r="R26" i="1" s="1"/>
  <c r="F27" i="1"/>
  <c r="R27" i="1" s="1"/>
  <c r="F28" i="1"/>
  <c r="R28" i="1" s="1"/>
  <c r="F29" i="1"/>
  <c r="R29" i="1" s="1"/>
  <c r="F30" i="1"/>
  <c r="R30" i="1" s="1"/>
  <c r="F31" i="1"/>
  <c r="F32" i="1"/>
  <c r="F33" i="1"/>
  <c r="F34" i="1"/>
  <c r="F35" i="1"/>
  <c r="F36" i="1"/>
  <c r="F37" i="1"/>
  <c r="F38" i="1"/>
  <c r="R38" i="1" s="1"/>
  <c r="F39" i="1"/>
  <c r="R39" i="1" s="1"/>
  <c r="F40" i="1"/>
  <c r="R40" i="1" s="1"/>
  <c r="F41" i="1"/>
  <c r="R41" i="1" s="1"/>
  <c r="F42" i="1"/>
  <c r="R42" i="1" s="1"/>
  <c r="F43" i="1"/>
  <c r="F44" i="1"/>
  <c r="F45" i="1"/>
  <c r="F46" i="1"/>
  <c r="F47" i="1"/>
  <c r="F48" i="1"/>
  <c r="F49" i="1"/>
  <c r="F50" i="1"/>
  <c r="R50" i="1" s="1"/>
  <c r="F51" i="1"/>
  <c r="R51" i="1" s="1"/>
  <c r="F52" i="1"/>
  <c r="R52" i="1" s="1"/>
  <c r="F53" i="1"/>
  <c r="R53" i="1" s="1"/>
  <c r="F54" i="1"/>
  <c r="R54" i="1" s="1"/>
  <c r="F55" i="1"/>
  <c r="F56" i="1"/>
  <c r="F57" i="1"/>
  <c r="F58" i="1"/>
  <c r="R58" i="1" s="1"/>
  <c r="F59" i="1"/>
  <c r="R59" i="1" s="1"/>
  <c r="F60" i="1"/>
  <c r="R60" i="1" s="1"/>
  <c r="F61" i="1"/>
  <c r="R61" i="1" s="1"/>
  <c r="F62" i="1"/>
  <c r="R62" i="1" s="1"/>
  <c r="F63" i="1"/>
  <c r="R63" i="1" s="1"/>
  <c r="F64" i="1"/>
  <c r="R64" i="1" s="1"/>
  <c r="F65" i="1"/>
  <c r="R65" i="1" s="1"/>
  <c r="F66" i="1"/>
  <c r="R66" i="1" s="1"/>
  <c r="F67" i="1"/>
  <c r="F68" i="1"/>
  <c r="F69" i="1"/>
  <c r="F70" i="1"/>
  <c r="F71" i="1"/>
  <c r="F72" i="1"/>
  <c r="F73" i="1"/>
  <c r="F74" i="1"/>
  <c r="R74" i="1" s="1"/>
  <c r="F75" i="1"/>
  <c r="R75" i="1" s="1"/>
  <c r="F76" i="1"/>
  <c r="R76" i="1" s="1"/>
  <c r="F77" i="1"/>
  <c r="R77" i="1" s="1"/>
  <c r="F78" i="1"/>
  <c r="R78" i="1" s="1"/>
  <c r="F79" i="1"/>
  <c r="F80" i="1"/>
  <c r="F81" i="1"/>
  <c r="F82" i="1"/>
  <c r="F83" i="1"/>
  <c r="F84" i="1"/>
  <c r="F85" i="1"/>
  <c r="F86" i="1"/>
  <c r="R86" i="1" s="1"/>
  <c r="F87" i="1"/>
  <c r="R87" i="1" s="1"/>
  <c r="F88" i="1"/>
  <c r="R88" i="1" s="1"/>
  <c r="F89" i="1"/>
  <c r="R89" i="1" s="1"/>
  <c r="F90" i="1"/>
  <c r="R90" i="1" s="1"/>
  <c r="F91" i="1"/>
  <c r="F92" i="1"/>
  <c r="F93" i="1"/>
  <c r="F94" i="1"/>
  <c r="R94" i="1" s="1"/>
  <c r="F95" i="1"/>
  <c r="R95" i="1" s="1"/>
  <c r="F96" i="1"/>
  <c r="R96" i="1" s="1"/>
  <c r="F97" i="1"/>
  <c r="R97" i="1" s="1"/>
  <c r="F98" i="1"/>
  <c r="R98" i="1" s="1"/>
  <c r="F99" i="1"/>
  <c r="R99" i="1" s="1"/>
  <c r="F100" i="1"/>
  <c r="R100" i="1" s="1"/>
  <c r="F101" i="1"/>
  <c r="R101" i="1" s="1"/>
  <c r="F2" i="1"/>
  <c r="R2" i="1" s="1"/>
  <c r="R93" i="1" l="1"/>
  <c r="R45" i="1"/>
  <c r="R9" i="1"/>
  <c r="R81" i="1"/>
  <c r="R57" i="1"/>
  <c r="R33" i="1"/>
  <c r="R92" i="1"/>
  <c r="R80" i="1"/>
  <c r="R68" i="1"/>
  <c r="R56" i="1"/>
  <c r="R44" i="1"/>
  <c r="R32" i="1"/>
  <c r="R20" i="1"/>
  <c r="R8" i="1"/>
  <c r="R10" i="1"/>
  <c r="R69" i="1"/>
  <c r="R21" i="1"/>
  <c r="R31" i="1"/>
  <c r="R7" i="1"/>
</calcChain>
</file>

<file path=xl/sharedStrings.xml><?xml version="1.0" encoding="utf-8"?>
<sst xmlns="http://schemas.openxmlformats.org/spreadsheetml/2006/main" count="420" uniqueCount="131">
  <si>
    <t>Year</t>
  </si>
  <si>
    <t>State</t>
  </si>
  <si>
    <t>Commodity</t>
  </si>
  <si>
    <t>Subsidy</t>
  </si>
  <si>
    <t>Land Price</t>
  </si>
  <si>
    <t>Rent Price</t>
  </si>
  <si>
    <t>ILLINOIS</t>
  </si>
  <si>
    <t>SOYBEANS</t>
  </si>
  <si>
    <t>CORN</t>
  </si>
  <si>
    <t>550648</t>
  </si>
  <si>
    <t>1484868</t>
  </si>
  <si>
    <t>782076</t>
  </si>
  <si>
    <t>1319481</t>
  </si>
  <si>
    <t>2146448</t>
  </si>
  <si>
    <t>3168211</t>
  </si>
  <si>
    <t>1700542</t>
  </si>
  <si>
    <t>435642</t>
  </si>
  <si>
    <t>337918</t>
  </si>
  <si>
    <t>279977</t>
  </si>
  <si>
    <t>INDIANA</t>
  </si>
  <si>
    <t>291436</t>
  </si>
  <si>
    <t>816908</t>
  </si>
  <si>
    <t>479334</t>
  </si>
  <si>
    <t>648139</t>
  </si>
  <si>
    <t>1085671</t>
  </si>
  <si>
    <t>1611504</t>
  </si>
  <si>
    <t>761978</t>
  </si>
  <si>
    <t>181507</t>
  </si>
  <si>
    <t>147084</t>
  </si>
  <si>
    <t>120621</t>
  </si>
  <si>
    <t>IOWA</t>
  </si>
  <si>
    <t>1859358</t>
  </si>
  <si>
    <t>1445109</t>
  </si>
  <si>
    <t>887941</t>
  </si>
  <si>
    <t>1486059</t>
  </si>
  <si>
    <t>2551496</t>
  </si>
  <si>
    <t>4403728</t>
  </si>
  <si>
    <t>2452757</t>
  </si>
  <si>
    <t>1112927</t>
  </si>
  <si>
    <t>761061</t>
  </si>
  <si>
    <t>708496</t>
  </si>
  <si>
    <t>KENTUCKY</t>
  </si>
  <si>
    <t>168606</t>
  </si>
  <si>
    <t>168535</t>
  </si>
  <si>
    <t>217560</t>
  </si>
  <si>
    <t>203388</t>
  </si>
  <si>
    <t>405695</t>
  </si>
  <si>
    <t>829833</t>
  </si>
  <si>
    <t>509060</t>
  </si>
  <si>
    <t>169754</t>
  </si>
  <si>
    <t>164919</t>
  </si>
  <si>
    <t>165763</t>
  </si>
  <si>
    <t>MICHIGAN</t>
  </si>
  <si>
    <t>247093</t>
  </si>
  <si>
    <t>255540</t>
  </si>
  <si>
    <t>257598</t>
  </si>
  <si>
    <t>291609</t>
  </si>
  <si>
    <t>475234</t>
  </si>
  <si>
    <t>1158015</t>
  </si>
  <si>
    <t>504835</t>
  </si>
  <si>
    <t>188987</t>
  </si>
  <si>
    <t>151903</t>
  </si>
  <si>
    <t>191978</t>
  </si>
  <si>
    <t>MINNESOTA</t>
  </si>
  <si>
    <t>1289339</t>
  </si>
  <si>
    <t>846621</t>
  </si>
  <si>
    <t>591926</t>
  </si>
  <si>
    <t>1038238</t>
  </si>
  <si>
    <t>1646172</t>
  </si>
  <si>
    <t>3335343</t>
  </si>
  <si>
    <t>1915203</t>
  </si>
  <si>
    <t>933806</t>
  </si>
  <si>
    <t>533168</t>
  </si>
  <si>
    <t>429943</t>
  </si>
  <si>
    <t>MISSOURI</t>
  </si>
  <si>
    <t>276246</t>
  </si>
  <si>
    <t>573593</t>
  </si>
  <si>
    <t>543524</t>
  </si>
  <si>
    <t>728534</t>
  </si>
  <si>
    <t>1365283</t>
  </si>
  <si>
    <t>1834398</t>
  </si>
  <si>
    <t>1229432</t>
  </si>
  <si>
    <t>511202</t>
  </si>
  <si>
    <t>530920</t>
  </si>
  <si>
    <t>342187</t>
  </si>
  <si>
    <t>NEBRASKA</t>
  </si>
  <si>
    <t>1049863</t>
  </si>
  <si>
    <t>1117144</t>
  </si>
  <si>
    <t>1031861</t>
  </si>
  <si>
    <t>862170</t>
  </si>
  <si>
    <t>1385170</t>
  </si>
  <si>
    <t>2999645</t>
  </si>
  <si>
    <t>1575044</t>
  </si>
  <si>
    <t>607933</t>
  </si>
  <si>
    <t>655353</t>
  </si>
  <si>
    <t>512097</t>
  </si>
  <si>
    <t>OHIO</t>
  </si>
  <si>
    <t>403885</t>
  </si>
  <si>
    <t>619660</t>
  </si>
  <si>
    <t>460379</t>
  </si>
  <si>
    <t>560230</t>
  </si>
  <si>
    <t>900414</t>
  </si>
  <si>
    <t>1307094</t>
  </si>
  <si>
    <t>780653</t>
  </si>
  <si>
    <t>209420</t>
  </si>
  <si>
    <t>229694</t>
  </si>
  <si>
    <t>218582</t>
  </si>
  <si>
    <t>WISCONSIN</t>
  </si>
  <si>
    <t>403506</t>
  </si>
  <si>
    <t>373103</t>
  </si>
  <si>
    <t>172637</t>
  </si>
  <si>
    <t>377725</t>
  </si>
  <si>
    <t>619371</t>
  </si>
  <si>
    <t>1914611</t>
  </si>
  <si>
    <t>958969</t>
  </si>
  <si>
    <t>242937</t>
  </si>
  <si>
    <t>428463</t>
  </si>
  <si>
    <t>167600</t>
  </si>
  <si>
    <t>Total Income</t>
  </si>
  <si>
    <t>Corn Planted</t>
  </si>
  <si>
    <t>Corn Yield</t>
  </si>
  <si>
    <t>Total Corn Yield</t>
  </si>
  <si>
    <t>Corn Price</t>
  </si>
  <si>
    <t>Soybeans Planted</t>
  </si>
  <si>
    <t>Soybeans Yield</t>
  </si>
  <si>
    <t>Total Soybeans Yield</t>
  </si>
  <si>
    <t>Soybeans Price</t>
  </si>
  <si>
    <t>Soybean Income</t>
  </si>
  <si>
    <t>Corn Income</t>
  </si>
  <si>
    <t xml:space="preserve">All data in this spreadsheet was gathered directly from USDA Quickstats in September of 2025 with exception of colums F H L N and R </t>
  </si>
  <si>
    <t xml:space="preserve">of which were calculated from data which was gathered from Quickstats. More info on calculations can be found on the poster.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</si>
</sst>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DDA5-74CB-421A-802D-36326C29A990}">
  <dimension ref="A1:V2"/>
  <sheetViews>
    <sheetView showGridLines="0" tabSelected="1" workbookViewId="0">
      <selection activeCell="D9" sqref="D9"/>
    </sheetView>
  </sheetViews>
  <sheetFormatPr defaultRowHeight="14.4" x14ac:dyDescent="0.3"/>
  <sheetData>
    <row r="1" spans="1:22" ht="15.6" x14ac:dyDescent="0.3">
      <c r="A1" s="4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5.6" x14ac:dyDescent="0.3">
      <c r="A2" s="4" t="s">
        <v>130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84BEF-B4FC-48C8-ADFB-F887E54B59E0}">
  <dimension ref="A1:R101"/>
  <sheetViews>
    <sheetView topLeftCell="B1" workbookViewId="0">
      <selection activeCell="F1" sqref="F1"/>
    </sheetView>
  </sheetViews>
  <sheetFormatPr defaultRowHeight="14.4" x14ac:dyDescent="0.3"/>
  <cols>
    <col min="3" max="3" width="10.33203125" customWidth="1"/>
    <col min="4" max="4" width="13.21875" customWidth="1"/>
    <col min="6" max="6" width="10" bestFit="1" customWidth="1"/>
    <col min="8" max="8" width="11" bestFit="1" customWidth="1"/>
    <col min="9" max="9" width="10" customWidth="1"/>
    <col min="10" max="10" width="12.6640625" customWidth="1"/>
    <col min="12" max="12" width="11" bestFit="1" customWidth="1"/>
    <col min="14" max="14" width="11" bestFit="1" customWidth="1"/>
    <col min="18" max="18" width="12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2</v>
      </c>
      <c r="J1" t="s">
        <v>119</v>
      </c>
      <c r="K1" t="s">
        <v>120</v>
      </c>
      <c r="L1" t="s">
        <v>121</v>
      </c>
      <c r="M1" t="s">
        <v>122</v>
      </c>
      <c r="N1" t="s">
        <v>128</v>
      </c>
      <c r="O1" t="s">
        <v>3</v>
      </c>
      <c r="P1" t="s">
        <v>4</v>
      </c>
      <c r="Q1" t="s">
        <v>5</v>
      </c>
      <c r="R1" t="s">
        <v>118</v>
      </c>
    </row>
    <row r="2" spans="1:18" x14ac:dyDescent="0.3">
      <c r="A2">
        <v>2024</v>
      </c>
      <c r="B2" t="s">
        <v>6</v>
      </c>
      <c r="C2" t="s">
        <v>7</v>
      </c>
      <c r="D2" s="3">
        <v>10800000</v>
      </c>
      <c r="E2">
        <v>64</v>
      </c>
      <c r="F2">
        <f>D2*E2</f>
        <v>691200000</v>
      </c>
      <c r="G2">
        <v>10.3</v>
      </c>
      <c r="H2">
        <f>F2*G2</f>
        <v>7119360000.000001</v>
      </c>
      <c r="I2" t="s">
        <v>8</v>
      </c>
      <c r="J2" s="3">
        <v>10800000</v>
      </c>
      <c r="K2">
        <v>175</v>
      </c>
      <c r="L2">
        <f>J2*K2</f>
        <v>1890000000</v>
      </c>
      <c r="M2">
        <v>3.69</v>
      </c>
      <c r="N2">
        <f>L2*M2</f>
        <v>6974100000</v>
      </c>
      <c r="O2" s="1" t="s">
        <v>18</v>
      </c>
      <c r="P2">
        <v>7580</v>
      </c>
      <c r="Q2">
        <v>228</v>
      </c>
      <c r="R2">
        <f>F2*G2+L2*M2</f>
        <v>14093460000</v>
      </c>
    </row>
    <row r="3" spans="1:18" x14ac:dyDescent="0.3">
      <c r="A3">
        <v>2024</v>
      </c>
      <c r="B3" t="s">
        <v>19</v>
      </c>
      <c r="C3" t="s">
        <v>7</v>
      </c>
      <c r="D3" s="3">
        <v>5800000</v>
      </c>
      <c r="E3">
        <v>59</v>
      </c>
      <c r="F3">
        <f t="shared" ref="F3:F66" si="0">D3*E3</f>
        <v>342200000</v>
      </c>
      <c r="G3">
        <v>10.4</v>
      </c>
      <c r="H3">
        <f t="shared" ref="H3:H66" si="1">F3*G3</f>
        <v>3558880000</v>
      </c>
      <c r="I3" t="s">
        <v>8</v>
      </c>
      <c r="J3" s="3">
        <v>5200000</v>
      </c>
      <c r="K3">
        <v>150</v>
      </c>
      <c r="L3">
        <f t="shared" ref="L3:L66" si="2">J3*K3</f>
        <v>780000000</v>
      </c>
      <c r="M3">
        <v>3.92</v>
      </c>
      <c r="N3">
        <f t="shared" ref="N3:N66" si="3">L3*M3</f>
        <v>3057600000</v>
      </c>
      <c r="O3" s="1" t="s">
        <v>29</v>
      </c>
      <c r="P3">
        <v>6780</v>
      </c>
      <c r="Q3">
        <v>197</v>
      </c>
      <c r="R3">
        <f t="shared" ref="R3:R66" si="4">F3*G3+L3*M3</f>
        <v>6616480000</v>
      </c>
    </row>
    <row r="4" spans="1:18" x14ac:dyDescent="0.3">
      <c r="A4">
        <v>2024</v>
      </c>
      <c r="B4" t="s">
        <v>30</v>
      </c>
      <c r="C4" t="s">
        <v>7</v>
      </c>
      <c r="D4" s="3">
        <v>10050000</v>
      </c>
      <c r="E4">
        <v>60</v>
      </c>
      <c r="F4">
        <f t="shared" si="0"/>
        <v>603000000</v>
      </c>
      <c r="G4">
        <v>10</v>
      </c>
      <c r="H4">
        <f t="shared" si="1"/>
        <v>6030000000</v>
      </c>
      <c r="I4" t="s">
        <v>8</v>
      </c>
      <c r="J4" s="3">
        <v>12900000</v>
      </c>
      <c r="K4">
        <v>192</v>
      </c>
      <c r="L4">
        <f t="shared" si="2"/>
        <v>2476800000</v>
      </c>
      <c r="M4">
        <v>3.52</v>
      </c>
      <c r="N4">
        <f t="shared" si="3"/>
        <v>8718336000</v>
      </c>
      <c r="O4" s="1" t="s">
        <v>40</v>
      </c>
      <c r="P4">
        <v>7860</v>
      </c>
      <c r="Q4">
        <v>250</v>
      </c>
      <c r="R4">
        <f t="shared" si="4"/>
        <v>14748336000</v>
      </c>
    </row>
    <row r="5" spans="1:18" x14ac:dyDescent="0.3">
      <c r="A5">
        <v>2024</v>
      </c>
      <c r="B5" t="s">
        <v>41</v>
      </c>
      <c r="C5" t="s">
        <v>7</v>
      </c>
      <c r="D5" s="3">
        <v>2050000</v>
      </c>
      <c r="E5">
        <v>48</v>
      </c>
      <c r="F5">
        <f t="shared" si="0"/>
        <v>98400000</v>
      </c>
      <c r="G5">
        <v>10.6</v>
      </c>
      <c r="H5">
        <f t="shared" si="1"/>
        <v>1043040000</v>
      </c>
      <c r="I5" t="s">
        <v>8</v>
      </c>
      <c r="J5" s="3">
        <v>1370000</v>
      </c>
      <c r="K5">
        <v>172</v>
      </c>
      <c r="L5">
        <f t="shared" si="2"/>
        <v>235640000</v>
      </c>
      <c r="M5">
        <v>3.88</v>
      </c>
      <c r="N5">
        <f t="shared" si="3"/>
        <v>914283200</v>
      </c>
      <c r="O5" s="1" t="s">
        <v>51</v>
      </c>
      <c r="P5">
        <v>3860</v>
      </c>
      <c r="Q5">
        <v>148</v>
      </c>
      <c r="R5">
        <f t="shared" si="4"/>
        <v>1957323200</v>
      </c>
    </row>
    <row r="6" spans="1:18" x14ac:dyDescent="0.3">
      <c r="A6">
        <v>2024</v>
      </c>
      <c r="B6" t="s">
        <v>52</v>
      </c>
      <c r="C6" t="s">
        <v>7</v>
      </c>
      <c r="D6" s="3">
        <v>2230000</v>
      </c>
      <c r="E6">
        <v>49</v>
      </c>
      <c r="F6">
        <f t="shared" si="0"/>
        <v>109270000</v>
      </c>
      <c r="G6">
        <v>10.6</v>
      </c>
      <c r="H6">
        <f t="shared" si="1"/>
        <v>1158262000</v>
      </c>
      <c r="I6" t="s">
        <v>8</v>
      </c>
      <c r="J6" s="3">
        <v>2300000</v>
      </c>
      <c r="K6">
        <v>162</v>
      </c>
      <c r="L6">
        <f t="shared" si="2"/>
        <v>372600000</v>
      </c>
      <c r="M6">
        <v>3.63</v>
      </c>
      <c r="N6">
        <f t="shared" si="3"/>
        <v>1352538000</v>
      </c>
      <c r="O6" s="1" t="s">
        <v>62</v>
      </c>
      <c r="P6">
        <v>4620</v>
      </c>
      <c r="Q6">
        <v>118</v>
      </c>
      <c r="R6">
        <f t="shared" si="4"/>
        <v>2510800000</v>
      </c>
    </row>
    <row r="7" spans="1:18" x14ac:dyDescent="0.3">
      <c r="A7">
        <v>2024</v>
      </c>
      <c r="B7" t="s">
        <v>63</v>
      </c>
      <c r="C7" t="s">
        <v>7</v>
      </c>
      <c r="D7" s="3">
        <v>7400000</v>
      </c>
      <c r="E7">
        <v>45</v>
      </c>
      <c r="F7">
        <f t="shared" si="0"/>
        <v>333000000</v>
      </c>
      <c r="G7">
        <v>10</v>
      </c>
      <c r="H7">
        <f t="shared" si="1"/>
        <v>3330000000</v>
      </c>
      <c r="I7" t="s">
        <v>8</v>
      </c>
      <c r="J7" s="3">
        <v>8200000</v>
      </c>
      <c r="K7">
        <v>188</v>
      </c>
      <c r="L7">
        <f t="shared" si="2"/>
        <v>1541600000</v>
      </c>
      <c r="M7">
        <v>3.37</v>
      </c>
      <c r="N7">
        <f t="shared" si="3"/>
        <v>5195192000</v>
      </c>
      <c r="O7" s="1" t="s">
        <v>73</v>
      </c>
      <c r="P7">
        <v>4860</v>
      </c>
      <c r="Q7">
        <v>181</v>
      </c>
      <c r="R7">
        <f t="shared" si="4"/>
        <v>8525192000</v>
      </c>
    </row>
    <row r="8" spans="1:18" x14ac:dyDescent="0.3">
      <c r="A8">
        <v>2024</v>
      </c>
      <c r="B8" t="s">
        <v>74</v>
      </c>
      <c r="C8" t="s">
        <v>7</v>
      </c>
      <c r="D8" s="3">
        <v>5950000</v>
      </c>
      <c r="E8">
        <v>49</v>
      </c>
      <c r="F8">
        <f t="shared" si="0"/>
        <v>291550000</v>
      </c>
      <c r="G8">
        <v>10.1</v>
      </c>
      <c r="H8">
        <f t="shared" si="1"/>
        <v>2944655000</v>
      </c>
      <c r="I8" t="s">
        <v>8</v>
      </c>
      <c r="J8" s="3">
        <v>3500000</v>
      </c>
      <c r="K8">
        <v>142</v>
      </c>
      <c r="L8">
        <f t="shared" si="2"/>
        <v>497000000</v>
      </c>
      <c r="M8">
        <v>3.69</v>
      </c>
      <c r="N8">
        <f t="shared" si="3"/>
        <v>1833930000</v>
      </c>
      <c r="O8" s="1" t="s">
        <v>84</v>
      </c>
      <c r="P8">
        <v>3680</v>
      </c>
      <c r="Q8">
        <v>132</v>
      </c>
      <c r="R8">
        <f t="shared" si="4"/>
        <v>4778585000</v>
      </c>
    </row>
    <row r="9" spans="1:18" x14ac:dyDescent="0.3">
      <c r="A9">
        <v>2024</v>
      </c>
      <c r="B9" t="s">
        <v>85</v>
      </c>
      <c r="C9" t="s">
        <v>7</v>
      </c>
      <c r="D9" s="3">
        <v>5300000</v>
      </c>
      <c r="E9">
        <v>57.5</v>
      </c>
      <c r="F9">
        <f t="shared" si="0"/>
        <v>304750000</v>
      </c>
      <c r="G9">
        <v>9.9</v>
      </c>
      <c r="H9">
        <f t="shared" si="1"/>
        <v>3017025000</v>
      </c>
      <c r="I9" t="s">
        <v>8</v>
      </c>
      <c r="J9" s="3">
        <v>10050000</v>
      </c>
      <c r="K9">
        <v>185</v>
      </c>
      <c r="L9">
        <f t="shared" si="2"/>
        <v>1859250000</v>
      </c>
      <c r="M9">
        <v>3.57</v>
      </c>
      <c r="N9">
        <f t="shared" si="3"/>
        <v>6637522500</v>
      </c>
      <c r="O9" s="1" t="s">
        <v>95</v>
      </c>
      <c r="P9">
        <v>5010</v>
      </c>
      <c r="Q9">
        <v>206</v>
      </c>
      <c r="R9">
        <f t="shared" si="4"/>
        <v>9654547500</v>
      </c>
    </row>
    <row r="10" spans="1:18" x14ac:dyDescent="0.3">
      <c r="A10">
        <v>2024</v>
      </c>
      <c r="B10" t="s">
        <v>96</v>
      </c>
      <c r="C10" t="s">
        <v>7</v>
      </c>
      <c r="D10" s="3">
        <v>5100000</v>
      </c>
      <c r="E10">
        <v>50</v>
      </c>
      <c r="F10">
        <f t="shared" si="0"/>
        <v>255000000</v>
      </c>
      <c r="G10">
        <v>10.199999999999999</v>
      </c>
      <c r="H10">
        <f t="shared" si="1"/>
        <v>2601000000</v>
      </c>
      <c r="I10" t="s">
        <v>8</v>
      </c>
      <c r="J10" s="3">
        <v>3400000</v>
      </c>
      <c r="K10">
        <v>153</v>
      </c>
      <c r="L10">
        <f t="shared" si="2"/>
        <v>520200000</v>
      </c>
      <c r="M10">
        <v>3.89</v>
      </c>
      <c r="N10">
        <f t="shared" si="3"/>
        <v>2023578000</v>
      </c>
      <c r="O10" s="1" t="s">
        <v>106</v>
      </c>
      <c r="P10">
        <v>6030</v>
      </c>
      <c r="Q10">
        <v>150</v>
      </c>
      <c r="R10">
        <f t="shared" si="4"/>
        <v>4624578000</v>
      </c>
    </row>
    <row r="11" spans="1:18" x14ac:dyDescent="0.3">
      <c r="A11">
        <v>2024</v>
      </c>
      <c r="B11" t="s">
        <v>107</v>
      </c>
      <c r="C11" t="s">
        <v>7</v>
      </c>
      <c r="D11" s="3">
        <v>2180000</v>
      </c>
      <c r="E11">
        <v>48</v>
      </c>
      <c r="F11">
        <f t="shared" si="0"/>
        <v>104640000</v>
      </c>
      <c r="G11">
        <v>10</v>
      </c>
      <c r="H11">
        <f t="shared" si="1"/>
        <v>1046400000</v>
      </c>
      <c r="I11" t="s">
        <v>8</v>
      </c>
      <c r="J11" s="3">
        <v>3750000</v>
      </c>
      <c r="K11">
        <v>164</v>
      </c>
      <c r="L11">
        <f t="shared" si="2"/>
        <v>615000000</v>
      </c>
      <c r="M11">
        <v>3.46</v>
      </c>
      <c r="N11">
        <f t="shared" si="3"/>
        <v>2127900000</v>
      </c>
      <c r="O11" s="2" t="s">
        <v>117</v>
      </c>
      <c r="P11">
        <v>4550</v>
      </c>
      <c r="Q11">
        <v>134</v>
      </c>
      <c r="R11">
        <f t="shared" si="4"/>
        <v>3174300000</v>
      </c>
    </row>
    <row r="12" spans="1:18" x14ac:dyDescent="0.3">
      <c r="A12">
        <v>2023</v>
      </c>
      <c r="B12" t="s">
        <v>6</v>
      </c>
      <c r="C12" t="s">
        <v>7</v>
      </c>
      <c r="D12" s="3">
        <v>10350000</v>
      </c>
      <c r="E12">
        <v>63</v>
      </c>
      <c r="F12">
        <f t="shared" si="0"/>
        <v>652050000</v>
      </c>
      <c r="G12">
        <v>12.4</v>
      </c>
      <c r="H12">
        <f t="shared" si="1"/>
        <v>8085420000</v>
      </c>
      <c r="I12" t="s">
        <v>8</v>
      </c>
      <c r="J12" s="3">
        <v>11200000</v>
      </c>
      <c r="K12">
        <v>197</v>
      </c>
      <c r="L12">
        <f t="shared" si="2"/>
        <v>2206400000</v>
      </c>
      <c r="M12">
        <v>3.43</v>
      </c>
      <c r="N12">
        <f t="shared" si="3"/>
        <v>7567952000</v>
      </c>
      <c r="O12" s="1" t="s">
        <v>17</v>
      </c>
      <c r="P12">
        <v>7350</v>
      </c>
      <c r="Q12">
        <v>221</v>
      </c>
      <c r="R12">
        <f t="shared" si="4"/>
        <v>15653372000</v>
      </c>
    </row>
    <row r="13" spans="1:18" x14ac:dyDescent="0.3">
      <c r="A13">
        <v>2023</v>
      </c>
      <c r="B13" t="s">
        <v>19</v>
      </c>
      <c r="C13" t="s">
        <v>7</v>
      </c>
      <c r="D13" s="3">
        <v>5500000</v>
      </c>
      <c r="E13">
        <v>61</v>
      </c>
      <c r="F13">
        <f t="shared" si="0"/>
        <v>335500000</v>
      </c>
      <c r="G13">
        <v>12.6</v>
      </c>
      <c r="H13">
        <f t="shared" si="1"/>
        <v>4227300000</v>
      </c>
      <c r="I13" t="s">
        <v>8</v>
      </c>
      <c r="J13" s="3">
        <v>5450000</v>
      </c>
      <c r="K13">
        <v>173</v>
      </c>
      <c r="L13">
        <f t="shared" si="2"/>
        <v>942850000</v>
      </c>
      <c r="M13">
        <v>3.63</v>
      </c>
      <c r="N13">
        <f t="shared" si="3"/>
        <v>3422545500</v>
      </c>
      <c r="O13" s="1" t="s">
        <v>28</v>
      </c>
      <c r="P13">
        <v>6690</v>
      </c>
      <c r="Q13">
        <v>192</v>
      </c>
      <c r="R13">
        <f t="shared" si="4"/>
        <v>7649845500</v>
      </c>
    </row>
    <row r="14" spans="1:18" x14ac:dyDescent="0.3">
      <c r="A14">
        <v>2023</v>
      </c>
      <c r="B14" t="s">
        <v>30</v>
      </c>
      <c r="C14" t="s">
        <v>7</v>
      </c>
      <c r="D14" s="3">
        <v>9950000</v>
      </c>
      <c r="E14">
        <v>58</v>
      </c>
      <c r="F14">
        <f t="shared" si="0"/>
        <v>577100000</v>
      </c>
      <c r="G14">
        <v>12.2</v>
      </c>
      <c r="H14">
        <f t="shared" si="1"/>
        <v>7040620000</v>
      </c>
      <c r="I14" t="s">
        <v>8</v>
      </c>
      <c r="J14" s="3">
        <v>13100000</v>
      </c>
      <c r="K14">
        <v>203</v>
      </c>
      <c r="L14">
        <f t="shared" si="2"/>
        <v>2659300000</v>
      </c>
      <c r="M14">
        <v>3.3</v>
      </c>
      <c r="N14">
        <f t="shared" si="3"/>
        <v>8775690000</v>
      </c>
      <c r="O14" s="1" t="s">
        <v>39</v>
      </c>
      <c r="P14">
        <v>7510</v>
      </c>
      <c r="Q14">
        <v>235</v>
      </c>
      <c r="R14">
        <f t="shared" si="4"/>
        <v>15816310000</v>
      </c>
    </row>
    <row r="15" spans="1:18" x14ac:dyDescent="0.3">
      <c r="A15">
        <v>2023</v>
      </c>
      <c r="B15" t="s">
        <v>41</v>
      </c>
      <c r="C15" t="s">
        <v>7</v>
      </c>
      <c r="D15" s="3">
        <v>1830000</v>
      </c>
      <c r="E15">
        <v>55</v>
      </c>
      <c r="F15">
        <f t="shared" si="0"/>
        <v>100650000</v>
      </c>
      <c r="G15">
        <v>12.8</v>
      </c>
      <c r="H15">
        <f t="shared" si="1"/>
        <v>1288320000</v>
      </c>
      <c r="I15" t="s">
        <v>8</v>
      </c>
      <c r="J15" s="3">
        <v>1600000</v>
      </c>
      <c r="K15">
        <v>159</v>
      </c>
      <c r="L15">
        <f t="shared" si="2"/>
        <v>254400000</v>
      </c>
      <c r="M15">
        <v>3.74</v>
      </c>
      <c r="N15">
        <f t="shared" si="3"/>
        <v>951456000</v>
      </c>
      <c r="O15" s="1" t="s">
        <v>50</v>
      </c>
      <c r="P15">
        <v>3980</v>
      </c>
      <c r="Q15">
        <v>143</v>
      </c>
      <c r="R15">
        <f t="shared" si="4"/>
        <v>2239776000</v>
      </c>
    </row>
    <row r="16" spans="1:18" x14ac:dyDescent="0.3">
      <c r="A16">
        <v>2023</v>
      </c>
      <c r="B16" t="s">
        <v>52</v>
      </c>
      <c r="C16" t="s">
        <v>7</v>
      </c>
      <c r="D16" s="3">
        <v>2040000</v>
      </c>
      <c r="E16">
        <v>46</v>
      </c>
      <c r="F16">
        <f t="shared" si="0"/>
        <v>93840000</v>
      </c>
      <c r="G16">
        <v>12.8</v>
      </c>
      <c r="H16">
        <f t="shared" si="1"/>
        <v>1201152000</v>
      </c>
      <c r="I16" t="s">
        <v>8</v>
      </c>
      <c r="J16" s="3">
        <v>2400000</v>
      </c>
      <c r="K16">
        <v>157</v>
      </c>
      <c r="L16">
        <f t="shared" si="2"/>
        <v>376800000</v>
      </c>
      <c r="M16">
        <v>3.44</v>
      </c>
      <c r="N16">
        <f t="shared" si="3"/>
        <v>1296192000</v>
      </c>
      <c r="O16" s="1" t="s">
        <v>61</v>
      </c>
      <c r="P16">
        <v>4590</v>
      </c>
      <c r="Q16">
        <v>127</v>
      </c>
      <c r="R16">
        <f t="shared" si="4"/>
        <v>2497344000</v>
      </c>
    </row>
    <row r="17" spans="1:18" x14ac:dyDescent="0.3">
      <c r="A17">
        <v>2023</v>
      </c>
      <c r="B17" t="s">
        <v>63</v>
      </c>
      <c r="C17" t="s">
        <v>7</v>
      </c>
      <c r="D17" s="3">
        <v>7350000</v>
      </c>
      <c r="E17">
        <v>48</v>
      </c>
      <c r="F17">
        <f t="shared" si="0"/>
        <v>352800000</v>
      </c>
      <c r="G17">
        <v>12.1</v>
      </c>
      <c r="H17">
        <f t="shared" si="1"/>
        <v>4268880000</v>
      </c>
      <c r="I17" t="s">
        <v>8</v>
      </c>
      <c r="J17" s="3">
        <v>8600000</v>
      </c>
      <c r="K17">
        <v>193</v>
      </c>
      <c r="L17">
        <f t="shared" si="2"/>
        <v>1659800000</v>
      </c>
      <c r="M17">
        <v>3.21</v>
      </c>
      <c r="N17">
        <f t="shared" si="3"/>
        <v>5327958000</v>
      </c>
      <c r="O17" s="1" t="s">
        <v>72</v>
      </c>
      <c r="P17">
        <v>4840</v>
      </c>
      <c r="Q17">
        <v>170</v>
      </c>
      <c r="R17">
        <f t="shared" si="4"/>
        <v>9596838000</v>
      </c>
    </row>
    <row r="18" spans="1:18" x14ac:dyDescent="0.3">
      <c r="A18">
        <v>2023</v>
      </c>
      <c r="B18" t="s">
        <v>74</v>
      </c>
      <c r="C18" t="s">
        <v>7</v>
      </c>
      <c r="D18" s="3">
        <v>5600000</v>
      </c>
      <c r="E18">
        <v>48</v>
      </c>
      <c r="F18">
        <f t="shared" si="0"/>
        <v>268800000</v>
      </c>
      <c r="G18">
        <v>12.4</v>
      </c>
      <c r="H18">
        <f t="shared" si="1"/>
        <v>3333120000</v>
      </c>
      <c r="I18" t="s">
        <v>8</v>
      </c>
      <c r="J18" s="3">
        <v>3850000</v>
      </c>
      <c r="K18">
        <v>163</v>
      </c>
      <c r="L18">
        <f t="shared" si="2"/>
        <v>627550000</v>
      </c>
      <c r="M18">
        <v>3.4</v>
      </c>
      <c r="N18">
        <f t="shared" si="3"/>
        <v>2133670000</v>
      </c>
      <c r="O18" s="1" t="s">
        <v>83</v>
      </c>
      <c r="P18">
        <v>3570</v>
      </c>
      <c r="Q18">
        <v>129</v>
      </c>
      <c r="R18">
        <f t="shared" si="4"/>
        <v>5466790000</v>
      </c>
    </row>
    <row r="19" spans="1:18" x14ac:dyDescent="0.3">
      <c r="A19">
        <v>2023</v>
      </c>
      <c r="B19" t="s">
        <v>85</v>
      </c>
      <c r="C19" t="s">
        <v>7</v>
      </c>
      <c r="D19" s="3">
        <v>5250000</v>
      </c>
      <c r="E19">
        <v>51.5</v>
      </c>
      <c r="F19">
        <f t="shared" si="0"/>
        <v>270375000</v>
      </c>
      <c r="G19">
        <v>12.2</v>
      </c>
      <c r="H19">
        <f t="shared" si="1"/>
        <v>3298575000</v>
      </c>
      <c r="I19" t="s">
        <v>8</v>
      </c>
      <c r="J19" s="3">
        <v>9950000</v>
      </c>
      <c r="K19">
        <v>178</v>
      </c>
      <c r="L19">
        <f t="shared" si="2"/>
        <v>1771100000</v>
      </c>
      <c r="M19">
        <v>3.32</v>
      </c>
      <c r="N19">
        <f t="shared" si="3"/>
        <v>5880052000</v>
      </c>
      <c r="O19" s="1" t="s">
        <v>94</v>
      </c>
      <c r="P19">
        <v>4750</v>
      </c>
      <c r="Q19">
        <v>196</v>
      </c>
      <c r="R19">
        <f t="shared" si="4"/>
        <v>9178627000</v>
      </c>
    </row>
    <row r="20" spans="1:18" x14ac:dyDescent="0.3">
      <c r="A20">
        <v>2023</v>
      </c>
      <c r="B20" t="s">
        <v>96</v>
      </c>
      <c r="C20" t="s">
        <v>7</v>
      </c>
      <c r="D20" s="3">
        <v>4750000</v>
      </c>
      <c r="E20">
        <v>58</v>
      </c>
      <c r="F20">
        <f t="shared" si="0"/>
        <v>275500000</v>
      </c>
      <c r="G20">
        <v>12.5</v>
      </c>
      <c r="H20">
        <f t="shared" si="1"/>
        <v>3443750000</v>
      </c>
      <c r="I20" t="s">
        <v>8</v>
      </c>
      <c r="J20" s="3">
        <v>3600000</v>
      </c>
      <c r="K20">
        <v>159</v>
      </c>
      <c r="L20">
        <f t="shared" si="2"/>
        <v>572400000</v>
      </c>
      <c r="M20">
        <v>3.61</v>
      </c>
      <c r="N20">
        <f t="shared" si="3"/>
        <v>2066364000</v>
      </c>
      <c r="O20" s="1" t="s">
        <v>105</v>
      </c>
      <c r="P20">
        <v>6070</v>
      </c>
      <c r="Q20">
        <v>150</v>
      </c>
      <c r="R20">
        <f t="shared" si="4"/>
        <v>5510114000</v>
      </c>
    </row>
    <row r="21" spans="1:18" x14ac:dyDescent="0.3">
      <c r="A21">
        <v>2023</v>
      </c>
      <c r="B21" t="s">
        <v>107</v>
      </c>
      <c r="C21" t="s">
        <v>7</v>
      </c>
      <c r="D21" s="3">
        <v>2110000</v>
      </c>
      <c r="E21">
        <v>51</v>
      </c>
      <c r="F21">
        <f t="shared" si="0"/>
        <v>107610000</v>
      </c>
      <c r="G21">
        <v>12.4</v>
      </c>
      <c r="H21">
        <f t="shared" si="1"/>
        <v>1334364000</v>
      </c>
      <c r="I21" t="s">
        <v>8</v>
      </c>
      <c r="J21" s="3">
        <v>4000000</v>
      </c>
      <c r="K21">
        <v>178</v>
      </c>
      <c r="L21">
        <f t="shared" si="2"/>
        <v>712000000</v>
      </c>
      <c r="M21">
        <v>3.28</v>
      </c>
      <c r="N21">
        <f t="shared" si="3"/>
        <v>2335360000</v>
      </c>
      <c r="O21" s="2" t="s">
        <v>116</v>
      </c>
      <c r="P21">
        <v>4660</v>
      </c>
      <c r="Q21">
        <v>137</v>
      </c>
      <c r="R21">
        <f t="shared" si="4"/>
        <v>3669724000</v>
      </c>
    </row>
    <row r="22" spans="1:18" x14ac:dyDescent="0.3">
      <c r="A22">
        <v>2022</v>
      </c>
      <c r="B22" t="s">
        <v>6</v>
      </c>
      <c r="C22" t="s">
        <v>7</v>
      </c>
      <c r="D22" s="3">
        <v>10800000</v>
      </c>
      <c r="E22">
        <v>63</v>
      </c>
      <c r="F22">
        <f t="shared" si="0"/>
        <v>680400000</v>
      </c>
      <c r="G22">
        <v>14.3</v>
      </c>
      <c r="H22">
        <f t="shared" si="1"/>
        <v>9729720000</v>
      </c>
      <c r="I22" t="s">
        <v>8</v>
      </c>
      <c r="J22" s="3">
        <v>10800000</v>
      </c>
      <c r="K22">
        <v>201</v>
      </c>
      <c r="L22">
        <f t="shared" si="2"/>
        <v>2170800000</v>
      </c>
      <c r="M22">
        <v>3.41</v>
      </c>
      <c r="N22">
        <f t="shared" si="3"/>
        <v>7402428000</v>
      </c>
      <c r="O22" s="1" t="s">
        <v>16</v>
      </c>
      <c r="P22">
        <v>7210</v>
      </c>
      <c r="Q22">
        <v>218</v>
      </c>
      <c r="R22">
        <f t="shared" si="4"/>
        <v>17132148000</v>
      </c>
    </row>
    <row r="23" spans="1:18" x14ac:dyDescent="0.3">
      <c r="A23">
        <v>2022</v>
      </c>
      <c r="B23" t="s">
        <v>19</v>
      </c>
      <c r="C23" t="s">
        <v>7</v>
      </c>
      <c r="D23" s="3">
        <v>5850000</v>
      </c>
      <c r="E23">
        <v>57.5</v>
      </c>
      <c r="F23">
        <f t="shared" si="0"/>
        <v>336375000</v>
      </c>
      <c r="G23">
        <v>14.4</v>
      </c>
      <c r="H23">
        <f t="shared" si="1"/>
        <v>4843800000</v>
      </c>
      <c r="I23" t="s">
        <v>8</v>
      </c>
      <c r="J23" s="3">
        <v>5250000</v>
      </c>
      <c r="K23">
        <v>180</v>
      </c>
      <c r="L23">
        <f t="shared" si="2"/>
        <v>945000000</v>
      </c>
      <c r="M23">
        <v>3.56</v>
      </c>
      <c r="N23">
        <f t="shared" si="3"/>
        <v>3364200000</v>
      </c>
      <c r="O23" s="1" t="s">
        <v>27</v>
      </c>
      <c r="P23">
        <v>6300</v>
      </c>
      <c r="Q23">
        <v>195</v>
      </c>
      <c r="R23">
        <f t="shared" si="4"/>
        <v>8208000000</v>
      </c>
    </row>
    <row r="24" spans="1:18" x14ac:dyDescent="0.3">
      <c r="A24">
        <v>2022</v>
      </c>
      <c r="B24" t="s">
        <v>30</v>
      </c>
      <c r="C24" t="s">
        <v>7</v>
      </c>
      <c r="D24" s="3">
        <v>10100000</v>
      </c>
      <c r="E24">
        <v>58.5</v>
      </c>
      <c r="F24">
        <f t="shared" si="0"/>
        <v>590850000</v>
      </c>
      <c r="G24">
        <v>14.2</v>
      </c>
      <c r="H24">
        <f t="shared" si="1"/>
        <v>8390070000</v>
      </c>
      <c r="I24" t="s">
        <v>8</v>
      </c>
      <c r="J24" s="3">
        <v>12900000</v>
      </c>
      <c r="K24">
        <v>202</v>
      </c>
      <c r="L24">
        <f t="shared" si="2"/>
        <v>2605800000</v>
      </c>
      <c r="M24">
        <v>3.31</v>
      </c>
      <c r="N24">
        <f t="shared" si="3"/>
        <v>8625198000</v>
      </c>
      <c r="O24" s="1" t="s">
        <v>38</v>
      </c>
      <c r="P24">
        <v>7440</v>
      </c>
      <c r="Q24">
        <v>231</v>
      </c>
      <c r="R24">
        <f t="shared" si="4"/>
        <v>17015268000</v>
      </c>
    </row>
    <row r="25" spans="1:18" x14ac:dyDescent="0.3">
      <c r="A25">
        <v>2022</v>
      </c>
      <c r="B25" t="s">
        <v>41</v>
      </c>
      <c r="C25" t="s">
        <v>7</v>
      </c>
      <c r="D25" s="3">
        <v>1950000</v>
      </c>
      <c r="E25">
        <v>51</v>
      </c>
      <c r="F25">
        <f t="shared" si="0"/>
        <v>99450000</v>
      </c>
      <c r="G25">
        <v>14.4</v>
      </c>
      <c r="H25">
        <f t="shared" si="1"/>
        <v>1432080000</v>
      </c>
      <c r="I25" t="s">
        <v>8</v>
      </c>
      <c r="J25" s="3">
        <v>1420000</v>
      </c>
      <c r="K25">
        <v>178</v>
      </c>
      <c r="L25">
        <f t="shared" si="2"/>
        <v>252760000</v>
      </c>
      <c r="M25">
        <v>3.69</v>
      </c>
      <c r="N25">
        <f t="shared" si="3"/>
        <v>932684400</v>
      </c>
      <c r="O25" s="1" t="s">
        <v>49</v>
      </c>
      <c r="P25">
        <v>4140</v>
      </c>
      <c r="Q25">
        <v>145</v>
      </c>
      <c r="R25">
        <f t="shared" si="4"/>
        <v>2364764400</v>
      </c>
    </row>
    <row r="26" spans="1:18" x14ac:dyDescent="0.3">
      <c r="A26">
        <v>2022</v>
      </c>
      <c r="B26" t="s">
        <v>52</v>
      </c>
      <c r="C26" t="s">
        <v>7</v>
      </c>
      <c r="D26" s="3">
        <v>2250000</v>
      </c>
      <c r="E26">
        <v>47</v>
      </c>
      <c r="F26">
        <f t="shared" si="0"/>
        <v>105750000</v>
      </c>
      <c r="G26">
        <v>14.7</v>
      </c>
      <c r="H26">
        <f t="shared" si="1"/>
        <v>1554525000</v>
      </c>
      <c r="I26" t="s">
        <v>8</v>
      </c>
      <c r="J26" s="3">
        <v>2300000</v>
      </c>
      <c r="K26">
        <v>159</v>
      </c>
      <c r="L26">
        <f t="shared" si="2"/>
        <v>365700000</v>
      </c>
      <c r="M26">
        <v>3.46</v>
      </c>
      <c r="N26">
        <f t="shared" si="3"/>
        <v>1265322000</v>
      </c>
      <c r="O26" s="1" t="s">
        <v>60</v>
      </c>
      <c r="P26">
        <v>4580</v>
      </c>
      <c r="Q26">
        <v>123</v>
      </c>
      <c r="R26">
        <f t="shared" si="4"/>
        <v>2819847000</v>
      </c>
    </row>
    <row r="27" spans="1:18" x14ac:dyDescent="0.3">
      <c r="A27">
        <v>2022</v>
      </c>
      <c r="B27" t="s">
        <v>63</v>
      </c>
      <c r="C27" t="s">
        <v>7</v>
      </c>
      <c r="D27" s="3">
        <v>7450000</v>
      </c>
      <c r="E27">
        <v>50</v>
      </c>
      <c r="F27">
        <f t="shared" si="0"/>
        <v>372500000</v>
      </c>
      <c r="G27">
        <v>14.1</v>
      </c>
      <c r="H27">
        <f t="shared" si="1"/>
        <v>5252250000</v>
      </c>
      <c r="I27" t="s">
        <v>8</v>
      </c>
      <c r="J27" s="3">
        <v>8000000</v>
      </c>
      <c r="K27">
        <v>194</v>
      </c>
      <c r="L27">
        <f t="shared" si="2"/>
        <v>1552000000</v>
      </c>
      <c r="M27">
        <v>3.18</v>
      </c>
      <c r="N27">
        <f t="shared" si="3"/>
        <v>4935360000</v>
      </c>
      <c r="O27" s="1" t="s">
        <v>71</v>
      </c>
      <c r="P27">
        <v>4920</v>
      </c>
      <c r="Q27">
        <v>166</v>
      </c>
      <c r="R27">
        <f t="shared" si="4"/>
        <v>10187610000</v>
      </c>
    </row>
    <row r="28" spans="1:18" x14ac:dyDescent="0.3">
      <c r="A28">
        <v>2022</v>
      </c>
      <c r="B28" t="s">
        <v>74</v>
      </c>
      <c r="C28" t="s">
        <v>7</v>
      </c>
      <c r="D28" s="3">
        <v>6100000</v>
      </c>
      <c r="E28">
        <v>45.5</v>
      </c>
      <c r="F28">
        <f t="shared" si="0"/>
        <v>277550000</v>
      </c>
      <c r="G28">
        <v>14.4</v>
      </c>
      <c r="H28">
        <f t="shared" si="1"/>
        <v>3996720000</v>
      </c>
      <c r="I28" t="s">
        <v>8</v>
      </c>
      <c r="J28" s="3">
        <v>3350000</v>
      </c>
      <c r="K28">
        <v>170</v>
      </c>
      <c r="L28">
        <f t="shared" si="2"/>
        <v>569500000</v>
      </c>
      <c r="M28">
        <v>3.41</v>
      </c>
      <c r="N28">
        <f t="shared" si="3"/>
        <v>1941995000</v>
      </c>
      <c r="O28" s="1" t="s">
        <v>82</v>
      </c>
      <c r="P28">
        <v>3560</v>
      </c>
      <c r="Q28">
        <v>128</v>
      </c>
      <c r="R28">
        <f t="shared" si="4"/>
        <v>5938715000</v>
      </c>
    </row>
    <row r="29" spans="1:18" x14ac:dyDescent="0.3">
      <c r="A29">
        <v>2022</v>
      </c>
      <c r="B29" t="s">
        <v>85</v>
      </c>
      <c r="C29" t="s">
        <v>7</v>
      </c>
      <c r="D29" s="3">
        <v>5750000</v>
      </c>
      <c r="E29">
        <v>49</v>
      </c>
      <c r="F29">
        <f t="shared" si="0"/>
        <v>281750000</v>
      </c>
      <c r="G29">
        <v>14.2</v>
      </c>
      <c r="H29">
        <f t="shared" si="1"/>
        <v>4000850000</v>
      </c>
      <c r="I29" t="s">
        <v>8</v>
      </c>
      <c r="J29" s="3">
        <v>9600000</v>
      </c>
      <c r="K29">
        <v>181</v>
      </c>
      <c r="L29">
        <f t="shared" si="2"/>
        <v>1737600000</v>
      </c>
      <c r="M29">
        <v>3.35</v>
      </c>
      <c r="N29">
        <f t="shared" si="3"/>
        <v>5820960000</v>
      </c>
      <c r="O29" s="1" t="s">
        <v>93</v>
      </c>
      <c r="P29">
        <v>4430</v>
      </c>
      <c r="Q29">
        <v>194</v>
      </c>
      <c r="R29">
        <f t="shared" si="4"/>
        <v>9821810000</v>
      </c>
    </row>
    <row r="30" spans="1:18" x14ac:dyDescent="0.3">
      <c r="A30">
        <v>2022</v>
      </c>
      <c r="B30" t="s">
        <v>96</v>
      </c>
      <c r="C30" t="s">
        <v>7</v>
      </c>
      <c r="D30" s="3">
        <v>5100000</v>
      </c>
      <c r="E30">
        <v>55.5</v>
      </c>
      <c r="F30">
        <f t="shared" si="0"/>
        <v>283050000</v>
      </c>
      <c r="G30">
        <v>14.4</v>
      </c>
      <c r="H30">
        <f t="shared" si="1"/>
        <v>4075920000</v>
      </c>
      <c r="I30" t="s">
        <v>8</v>
      </c>
      <c r="J30" s="3">
        <v>3400000</v>
      </c>
      <c r="K30">
        <v>177</v>
      </c>
      <c r="L30">
        <f t="shared" si="2"/>
        <v>601800000</v>
      </c>
      <c r="M30">
        <v>3.61</v>
      </c>
      <c r="N30">
        <f t="shared" si="3"/>
        <v>2172498000</v>
      </c>
      <c r="O30" s="1" t="s">
        <v>104</v>
      </c>
      <c r="P30">
        <v>6150</v>
      </c>
      <c r="Q30">
        <v>152</v>
      </c>
      <c r="R30">
        <f t="shared" si="4"/>
        <v>6248418000</v>
      </c>
    </row>
    <row r="31" spans="1:18" x14ac:dyDescent="0.3">
      <c r="A31">
        <v>2022</v>
      </c>
      <c r="B31" t="s">
        <v>107</v>
      </c>
      <c r="C31" t="s">
        <v>7</v>
      </c>
      <c r="D31" s="3">
        <v>2160000</v>
      </c>
      <c r="E31">
        <v>54</v>
      </c>
      <c r="F31">
        <f t="shared" si="0"/>
        <v>116640000</v>
      </c>
      <c r="G31">
        <v>13.8</v>
      </c>
      <c r="H31">
        <f t="shared" si="1"/>
        <v>1609632000</v>
      </c>
      <c r="I31" t="s">
        <v>8</v>
      </c>
      <c r="J31" s="3">
        <v>3900000</v>
      </c>
      <c r="K31">
        <v>174</v>
      </c>
      <c r="L31">
        <f t="shared" si="2"/>
        <v>678600000</v>
      </c>
      <c r="M31">
        <v>3.3</v>
      </c>
      <c r="N31">
        <f t="shared" si="3"/>
        <v>2239380000</v>
      </c>
      <c r="O31" s="2" t="s">
        <v>115</v>
      </c>
      <c r="P31">
        <v>4870</v>
      </c>
      <c r="Q31">
        <v>139</v>
      </c>
      <c r="R31">
        <f t="shared" si="4"/>
        <v>3849012000</v>
      </c>
    </row>
    <row r="32" spans="1:18" x14ac:dyDescent="0.3">
      <c r="A32">
        <v>2021</v>
      </c>
      <c r="B32" t="s">
        <v>6</v>
      </c>
      <c r="C32" t="s">
        <v>7</v>
      </c>
      <c r="D32" s="3">
        <v>10600000</v>
      </c>
      <c r="E32">
        <v>65</v>
      </c>
      <c r="F32">
        <f t="shared" si="0"/>
        <v>689000000</v>
      </c>
      <c r="G32">
        <v>13.5</v>
      </c>
      <c r="H32">
        <f t="shared" si="1"/>
        <v>9301500000</v>
      </c>
      <c r="I32" t="s">
        <v>8</v>
      </c>
      <c r="J32" s="3">
        <v>11000000</v>
      </c>
      <c r="K32">
        <v>210</v>
      </c>
      <c r="L32">
        <f t="shared" si="2"/>
        <v>2310000000</v>
      </c>
      <c r="M32">
        <v>3.62</v>
      </c>
      <c r="N32">
        <f t="shared" si="3"/>
        <v>8362200000</v>
      </c>
      <c r="O32" s="1" t="s">
        <v>15</v>
      </c>
      <c r="P32">
        <v>7280</v>
      </c>
      <c r="Q32">
        <v>223</v>
      </c>
      <c r="R32">
        <f t="shared" si="4"/>
        <v>17663700000</v>
      </c>
    </row>
    <row r="33" spans="1:18" x14ac:dyDescent="0.3">
      <c r="A33">
        <v>2021</v>
      </c>
      <c r="B33" t="s">
        <v>19</v>
      </c>
      <c r="C33" t="s">
        <v>7</v>
      </c>
      <c r="D33" s="3">
        <v>5650000</v>
      </c>
      <c r="E33">
        <v>60</v>
      </c>
      <c r="F33">
        <f t="shared" si="0"/>
        <v>339000000</v>
      </c>
      <c r="G33">
        <v>13.3</v>
      </c>
      <c r="H33">
        <f t="shared" si="1"/>
        <v>4508700000</v>
      </c>
      <c r="I33" t="s">
        <v>8</v>
      </c>
      <c r="J33" s="3">
        <v>5400000</v>
      </c>
      <c r="K33">
        <v>189</v>
      </c>
      <c r="L33">
        <f t="shared" si="2"/>
        <v>1020600000</v>
      </c>
      <c r="M33">
        <v>3.78</v>
      </c>
      <c r="N33">
        <f t="shared" si="3"/>
        <v>3857868000</v>
      </c>
      <c r="O33" s="1" t="s">
        <v>26</v>
      </c>
      <c r="P33">
        <v>6210</v>
      </c>
      <c r="Q33">
        <v>198</v>
      </c>
      <c r="R33">
        <f t="shared" si="4"/>
        <v>8366568000</v>
      </c>
    </row>
    <row r="34" spans="1:18" x14ac:dyDescent="0.3">
      <c r="A34">
        <v>2021</v>
      </c>
      <c r="B34" t="s">
        <v>30</v>
      </c>
      <c r="C34" t="s">
        <v>7</v>
      </c>
      <c r="D34" s="3">
        <v>10100000</v>
      </c>
      <c r="E34">
        <v>63</v>
      </c>
      <c r="F34">
        <f t="shared" si="0"/>
        <v>636300000</v>
      </c>
      <c r="G34">
        <v>13.4</v>
      </c>
      <c r="H34">
        <f t="shared" si="1"/>
        <v>8526420000</v>
      </c>
      <c r="I34" t="s">
        <v>8</v>
      </c>
      <c r="J34" s="3">
        <v>12900000</v>
      </c>
      <c r="K34">
        <v>196</v>
      </c>
      <c r="L34">
        <f t="shared" si="2"/>
        <v>2528400000</v>
      </c>
      <c r="M34">
        <v>3.59</v>
      </c>
      <c r="N34">
        <f t="shared" si="3"/>
        <v>9076956000</v>
      </c>
      <c r="O34" s="1" t="s">
        <v>37</v>
      </c>
      <c r="P34">
        <v>7290</v>
      </c>
      <c r="Q34">
        <v>231</v>
      </c>
      <c r="R34">
        <f t="shared" si="4"/>
        <v>17603376000</v>
      </c>
    </row>
    <row r="35" spans="1:18" x14ac:dyDescent="0.3">
      <c r="A35">
        <v>2021</v>
      </c>
      <c r="B35" t="s">
        <v>41</v>
      </c>
      <c r="C35" t="s">
        <v>7</v>
      </c>
      <c r="D35" s="3">
        <v>1850000</v>
      </c>
      <c r="E35">
        <v>56</v>
      </c>
      <c r="F35">
        <f t="shared" si="0"/>
        <v>103600000</v>
      </c>
      <c r="G35">
        <v>13.1</v>
      </c>
      <c r="H35">
        <f t="shared" si="1"/>
        <v>1357160000</v>
      </c>
      <c r="I35" t="s">
        <v>8</v>
      </c>
      <c r="J35" s="3">
        <v>1530000</v>
      </c>
      <c r="K35">
        <v>175</v>
      </c>
      <c r="L35">
        <f t="shared" si="2"/>
        <v>267750000</v>
      </c>
      <c r="M35">
        <v>3.84</v>
      </c>
      <c r="N35">
        <f t="shared" si="3"/>
        <v>1028160000</v>
      </c>
      <c r="O35" s="1" t="s">
        <v>48</v>
      </c>
      <c r="P35">
        <v>4250</v>
      </c>
      <c r="Q35">
        <v>149</v>
      </c>
      <c r="R35">
        <f t="shared" si="4"/>
        <v>2385320000</v>
      </c>
    </row>
    <row r="36" spans="1:18" x14ac:dyDescent="0.3">
      <c r="A36">
        <v>2021</v>
      </c>
      <c r="B36" t="s">
        <v>52</v>
      </c>
      <c r="C36" t="s">
        <v>7</v>
      </c>
      <c r="D36" s="3">
        <v>2150000</v>
      </c>
      <c r="E36">
        <v>51</v>
      </c>
      <c r="F36">
        <f t="shared" si="0"/>
        <v>109650000</v>
      </c>
      <c r="G36">
        <v>14</v>
      </c>
      <c r="H36">
        <f t="shared" si="1"/>
        <v>1535100000</v>
      </c>
      <c r="I36" t="s">
        <v>8</v>
      </c>
      <c r="J36" s="3">
        <v>2350000</v>
      </c>
      <c r="K36">
        <v>152</v>
      </c>
      <c r="L36">
        <f t="shared" si="2"/>
        <v>357200000</v>
      </c>
      <c r="M36">
        <v>3.72</v>
      </c>
      <c r="N36">
        <f t="shared" si="3"/>
        <v>1328784000</v>
      </c>
      <c r="O36" s="1" t="s">
        <v>59</v>
      </c>
      <c r="P36">
        <v>4510</v>
      </c>
      <c r="Q36">
        <v>123</v>
      </c>
      <c r="R36">
        <f t="shared" si="4"/>
        <v>2863884000</v>
      </c>
    </row>
    <row r="37" spans="1:18" x14ac:dyDescent="0.3">
      <c r="A37">
        <v>2021</v>
      </c>
      <c r="B37" t="s">
        <v>63</v>
      </c>
      <c r="C37" t="s">
        <v>7</v>
      </c>
      <c r="D37" s="3">
        <v>7650000</v>
      </c>
      <c r="E37">
        <v>47</v>
      </c>
      <c r="F37">
        <f t="shared" si="0"/>
        <v>359550000</v>
      </c>
      <c r="G37">
        <v>13.4</v>
      </c>
      <c r="H37">
        <f t="shared" si="1"/>
        <v>4817970000</v>
      </c>
      <c r="I37" t="s">
        <v>8</v>
      </c>
      <c r="J37" s="3">
        <v>8350000</v>
      </c>
      <c r="K37">
        <v>182</v>
      </c>
      <c r="L37">
        <f t="shared" si="2"/>
        <v>1519700000</v>
      </c>
      <c r="M37">
        <v>3.47</v>
      </c>
      <c r="N37">
        <f t="shared" si="3"/>
        <v>5273359000</v>
      </c>
      <c r="O37" s="1" t="s">
        <v>70</v>
      </c>
      <c r="P37">
        <v>4950</v>
      </c>
      <c r="Q37">
        <v>167</v>
      </c>
      <c r="R37">
        <f t="shared" si="4"/>
        <v>10091329000</v>
      </c>
    </row>
    <row r="38" spans="1:18" x14ac:dyDescent="0.3">
      <c r="A38">
        <v>2021</v>
      </c>
      <c r="B38" t="s">
        <v>74</v>
      </c>
      <c r="C38" t="s">
        <v>7</v>
      </c>
      <c r="D38" s="3">
        <v>5700000</v>
      </c>
      <c r="E38">
        <v>49</v>
      </c>
      <c r="F38">
        <f t="shared" si="0"/>
        <v>279300000</v>
      </c>
      <c r="G38">
        <v>13.8</v>
      </c>
      <c r="H38">
        <f t="shared" si="1"/>
        <v>3854340000</v>
      </c>
      <c r="I38" t="s">
        <v>8</v>
      </c>
      <c r="J38" s="3">
        <v>3600000</v>
      </c>
      <c r="K38">
        <v>140</v>
      </c>
      <c r="L38">
        <f t="shared" si="2"/>
        <v>504000000</v>
      </c>
      <c r="M38">
        <v>3.68</v>
      </c>
      <c r="N38">
        <f t="shared" si="3"/>
        <v>1854720000</v>
      </c>
      <c r="O38" s="1" t="s">
        <v>81</v>
      </c>
      <c r="P38">
        <v>3490</v>
      </c>
      <c r="Q38">
        <v>132</v>
      </c>
      <c r="R38">
        <f t="shared" si="4"/>
        <v>5709060000</v>
      </c>
    </row>
    <row r="39" spans="1:18" x14ac:dyDescent="0.3">
      <c r="A39">
        <v>2021</v>
      </c>
      <c r="B39" t="s">
        <v>85</v>
      </c>
      <c r="C39" t="s">
        <v>7</v>
      </c>
      <c r="D39" s="3">
        <v>5600000</v>
      </c>
      <c r="E39">
        <v>63</v>
      </c>
      <c r="F39">
        <f t="shared" si="0"/>
        <v>352800000</v>
      </c>
      <c r="G39">
        <v>12.7</v>
      </c>
      <c r="H39">
        <f t="shared" si="1"/>
        <v>4480560000</v>
      </c>
      <c r="I39" t="s">
        <v>8</v>
      </c>
      <c r="J39" s="3">
        <v>9900000</v>
      </c>
      <c r="K39">
        <v>192</v>
      </c>
      <c r="L39">
        <f t="shared" si="2"/>
        <v>1900800000</v>
      </c>
      <c r="M39">
        <v>3.58</v>
      </c>
      <c r="N39">
        <f t="shared" si="3"/>
        <v>6804864000</v>
      </c>
      <c r="O39" s="1" t="s">
        <v>92</v>
      </c>
      <c r="P39">
        <v>4380</v>
      </c>
      <c r="Q39">
        <v>195</v>
      </c>
      <c r="R39">
        <f t="shared" si="4"/>
        <v>11285424000</v>
      </c>
    </row>
    <row r="40" spans="1:18" x14ac:dyDescent="0.3">
      <c r="A40">
        <v>2021</v>
      </c>
      <c r="B40" t="s">
        <v>96</v>
      </c>
      <c r="C40" t="s">
        <v>7</v>
      </c>
      <c r="D40" s="3">
        <v>4900000</v>
      </c>
      <c r="E40">
        <v>57</v>
      </c>
      <c r="F40">
        <f t="shared" si="0"/>
        <v>279300000</v>
      </c>
      <c r="G40">
        <v>13.6</v>
      </c>
      <c r="H40">
        <f t="shared" si="1"/>
        <v>3798480000</v>
      </c>
      <c r="I40" t="s">
        <v>8</v>
      </c>
      <c r="J40" s="3">
        <v>3550000</v>
      </c>
      <c r="K40">
        <v>187</v>
      </c>
      <c r="L40">
        <f t="shared" si="2"/>
        <v>663850000</v>
      </c>
      <c r="M40">
        <v>3.74</v>
      </c>
      <c r="N40">
        <f t="shared" si="3"/>
        <v>2482799000</v>
      </c>
      <c r="O40" s="1" t="s">
        <v>103</v>
      </c>
      <c r="P40">
        <v>6320</v>
      </c>
      <c r="Q40">
        <v>152</v>
      </c>
      <c r="R40">
        <f t="shared" si="4"/>
        <v>6281279000</v>
      </c>
    </row>
    <row r="41" spans="1:18" x14ac:dyDescent="0.3">
      <c r="A41">
        <v>2021</v>
      </c>
      <c r="B41" t="s">
        <v>107</v>
      </c>
      <c r="C41" t="s">
        <v>7</v>
      </c>
      <c r="D41" s="3">
        <v>2100000</v>
      </c>
      <c r="E41">
        <v>55</v>
      </c>
      <c r="F41">
        <f t="shared" si="0"/>
        <v>115500000</v>
      </c>
      <c r="G41">
        <v>12.7</v>
      </c>
      <c r="H41">
        <f t="shared" si="1"/>
        <v>1466850000</v>
      </c>
      <c r="I41" t="s">
        <v>8</v>
      </c>
      <c r="J41" s="3">
        <v>3950000</v>
      </c>
      <c r="K41">
        <v>172</v>
      </c>
      <c r="L41">
        <f t="shared" si="2"/>
        <v>679400000</v>
      </c>
      <c r="M41">
        <v>3.52</v>
      </c>
      <c r="N41">
        <f t="shared" si="3"/>
        <v>2391488000</v>
      </c>
      <c r="O41" s="2" t="s">
        <v>114</v>
      </c>
      <c r="P41">
        <v>4740</v>
      </c>
      <c r="Q41">
        <v>140</v>
      </c>
      <c r="R41">
        <f t="shared" si="4"/>
        <v>3858338000</v>
      </c>
    </row>
    <row r="42" spans="1:18" x14ac:dyDescent="0.3">
      <c r="A42">
        <v>2020</v>
      </c>
      <c r="B42" t="s">
        <v>6</v>
      </c>
      <c r="C42" t="s">
        <v>7</v>
      </c>
      <c r="D42" s="3">
        <v>10300000</v>
      </c>
      <c r="E42">
        <v>60</v>
      </c>
      <c r="F42">
        <f t="shared" si="0"/>
        <v>618000000</v>
      </c>
      <c r="G42">
        <v>10.9</v>
      </c>
      <c r="H42">
        <f t="shared" si="1"/>
        <v>6736200000</v>
      </c>
      <c r="I42" t="s">
        <v>8</v>
      </c>
      <c r="J42" s="3">
        <v>11300000</v>
      </c>
      <c r="K42">
        <v>181</v>
      </c>
      <c r="L42">
        <f t="shared" si="2"/>
        <v>2045300000</v>
      </c>
      <c r="M42">
        <v>3.55</v>
      </c>
      <c r="N42">
        <f t="shared" si="3"/>
        <v>7260815000</v>
      </c>
      <c r="O42" s="1" t="s">
        <v>14</v>
      </c>
      <c r="P42">
        <v>7300</v>
      </c>
      <c r="Q42">
        <v>224</v>
      </c>
      <c r="R42">
        <f t="shared" si="4"/>
        <v>13997015000</v>
      </c>
    </row>
    <row r="43" spans="1:18" x14ac:dyDescent="0.3">
      <c r="A43">
        <v>2020</v>
      </c>
      <c r="B43" t="s">
        <v>19</v>
      </c>
      <c r="C43" t="s">
        <v>7</v>
      </c>
      <c r="D43" s="3">
        <v>5750000</v>
      </c>
      <c r="E43">
        <v>59</v>
      </c>
      <c r="F43">
        <f t="shared" si="0"/>
        <v>339250000</v>
      </c>
      <c r="G43">
        <v>11.1</v>
      </c>
      <c r="H43">
        <f t="shared" si="1"/>
        <v>3765675000</v>
      </c>
      <c r="I43" t="s">
        <v>8</v>
      </c>
      <c r="J43" s="3">
        <v>5400000</v>
      </c>
      <c r="K43">
        <v>169</v>
      </c>
      <c r="L43">
        <f t="shared" si="2"/>
        <v>912600000</v>
      </c>
      <c r="M43">
        <v>3.84</v>
      </c>
      <c r="N43">
        <f t="shared" si="3"/>
        <v>3504384000</v>
      </c>
      <c r="O43" s="1" t="s">
        <v>25</v>
      </c>
      <c r="P43">
        <v>6090</v>
      </c>
      <c r="Q43">
        <v>194</v>
      </c>
      <c r="R43">
        <f t="shared" si="4"/>
        <v>7270059000</v>
      </c>
    </row>
    <row r="44" spans="1:18" x14ac:dyDescent="0.3">
      <c r="A44">
        <v>2020</v>
      </c>
      <c r="B44" t="s">
        <v>30</v>
      </c>
      <c r="C44" t="s">
        <v>7</v>
      </c>
      <c r="D44" s="3">
        <v>9450000</v>
      </c>
      <c r="E44">
        <v>54</v>
      </c>
      <c r="F44">
        <f t="shared" si="0"/>
        <v>510300000</v>
      </c>
      <c r="G44">
        <v>11.1</v>
      </c>
      <c r="H44">
        <f t="shared" si="1"/>
        <v>5664330000</v>
      </c>
      <c r="I44" t="s">
        <v>8</v>
      </c>
      <c r="J44" s="3">
        <v>13600000</v>
      </c>
      <c r="K44">
        <v>198</v>
      </c>
      <c r="L44">
        <f t="shared" si="2"/>
        <v>2692800000</v>
      </c>
      <c r="M44">
        <v>3.5</v>
      </c>
      <c r="N44">
        <f t="shared" si="3"/>
        <v>9424800000</v>
      </c>
      <c r="O44" s="1" t="s">
        <v>36</v>
      </c>
      <c r="P44">
        <v>7160</v>
      </c>
      <c r="Q44">
        <v>230</v>
      </c>
      <c r="R44">
        <f t="shared" si="4"/>
        <v>15089130000</v>
      </c>
    </row>
    <row r="45" spans="1:18" x14ac:dyDescent="0.3">
      <c r="A45">
        <v>2020</v>
      </c>
      <c r="B45" t="s">
        <v>41</v>
      </c>
      <c r="C45" t="s">
        <v>7</v>
      </c>
      <c r="D45" s="3">
        <v>1850000</v>
      </c>
      <c r="E45">
        <v>55</v>
      </c>
      <c r="F45">
        <f t="shared" si="0"/>
        <v>101750000</v>
      </c>
      <c r="G45">
        <v>10.8</v>
      </c>
      <c r="H45">
        <f t="shared" si="1"/>
        <v>1098900000</v>
      </c>
      <c r="I45" t="s">
        <v>8</v>
      </c>
      <c r="J45" s="3">
        <v>1470000</v>
      </c>
      <c r="K45">
        <v>169</v>
      </c>
      <c r="L45">
        <f t="shared" si="2"/>
        <v>248430000</v>
      </c>
      <c r="M45">
        <v>3.92</v>
      </c>
      <c r="N45">
        <f t="shared" si="3"/>
        <v>973845600</v>
      </c>
      <c r="O45" s="1" t="s">
        <v>47</v>
      </c>
      <c r="P45">
        <v>4350</v>
      </c>
      <c r="Q45">
        <v>151</v>
      </c>
      <c r="R45">
        <f t="shared" si="4"/>
        <v>2072745600</v>
      </c>
    </row>
    <row r="46" spans="1:18" x14ac:dyDescent="0.3">
      <c r="A46">
        <v>2020</v>
      </c>
      <c r="B46" t="s">
        <v>52</v>
      </c>
      <c r="C46" t="s">
        <v>7</v>
      </c>
      <c r="D46" s="3">
        <v>2200000</v>
      </c>
      <c r="E46">
        <v>48</v>
      </c>
      <c r="F46">
        <f t="shared" si="0"/>
        <v>105600000</v>
      </c>
      <c r="G46">
        <v>11.7</v>
      </c>
      <c r="H46">
        <f t="shared" si="1"/>
        <v>1235520000</v>
      </c>
      <c r="I46" t="s">
        <v>8</v>
      </c>
      <c r="J46" s="3">
        <v>2350000</v>
      </c>
      <c r="K46">
        <v>147</v>
      </c>
      <c r="L46">
        <f t="shared" si="2"/>
        <v>345450000</v>
      </c>
      <c r="M46">
        <v>3.73</v>
      </c>
      <c r="N46">
        <f t="shared" si="3"/>
        <v>1288528500</v>
      </c>
      <c r="O46" s="1" t="s">
        <v>58</v>
      </c>
      <c r="P46">
        <v>4430</v>
      </c>
      <c r="Q46">
        <v>127</v>
      </c>
      <c r="R46">
        <f t="shared" si="4"/>
        <v>2524048500</v>
      </c>
    </row>
    <row r="47" spans="1:18" x14ac:dyDescent="0.3">
      <c r="A47">
        <v>2020</v>
      </c>
      <c r="B47" t="s">
        <v>63</v>
      </c>
      <c r="C47" t="s">
        <v>7</v>
      </c>
      <c r="D47" s="3">
        <v>7450000</v>
      </c>
      <c r="E47">
        <v>50</v>
      </c>
      <c r="F47">
        <f t="shared" si="0"/>
        <v>372500000</v>
      </c>
      <c r="G47">
        <v>11</v>
      </c>
      <c r="H47">
        <f t="shared" si="1"/>
        <v>4097500000</v>
      </c>
      <c r="I47" t="s">
        <v>8</v>
      </c>
      <c r="J47" s="3">
        <v>8000000</v>
      </c>
      <c r="K47">
        <v>174</v>
      </c>
      <c r="L47">
        <f t="shared" si="2"/>
        <v>1392000000</v>
      </c>
      <c r="M47">
        <v>3.26</v>
      </c>
      <c r="N47">
        <f t="shared" si="3"/>
        <v>4537920000</v>
      </c>
      <c r="O47" s="1" t="s">
        <v>69</v>
      </c>
      <c r="P47">
        <v>4740</v>
      </c>
      <c r="Q47">
        <v>164</v>
      </c>
      <c r="R47">
        <f t="shared" si="4"/>
        <v>8635420000</v>
      </c>
    </row>
    <row r="48" spans="1:18" x14ac:dyDescent="0.3">
      <c r="A48">
        <v>2020</v>
      </c>
      <c r="B48" t="s">
        <v>74</v>
      </c>
      <c r="C48" t="s">
        <v>7</v>
      </c>
      <c r="D48" s="3">
        <v>5850000</v>
      </c>
      <c r="E48">
        <v>51</v>
      </c>
      <c r="F48">
        <f t="shared" si="0"/>
        <v>298350000</v>
      </c>
      <c r="G48">
        <v>11.1</v>
      </c>
      <c r="H48">
        <f t="shared" si="1"/>
        <v>3311685000</v>
      </c>
      <c r="I48" t="s">
        <v>8</v>
      </c>
      <c r="J48" s="3">
        <v>3450000</v>
      </c>
      <c r="K48">
        <v>155</v>
      </c>
      <c r="L48">
        <f t="shared" si="2"/>
        <v>534750000</v>
      </c>
      <c r="M48">
        <v>3.67</v>
      </c>
      <c r="N48">
        <f t="shared" si="3"/>
        <v>1962532500</v>
      </c>
      <c r="O48" s="1" t="s">
        <v>80</v>
      </c>
      <c r="P48">
        <v>3510</v>
      </c>
      <c r="Q48">
        <v>130</v>
      </c>
      <c r="R48">
        <f t="shared" si="4"/>
        <v>5274217500</v>
      </c>
    </row>
    <row r="49" spans="1:18" x14ac:dyDescent="0.3">
      <c r="A49">
        <v>2020</v>
      </c>
      <c r="B49" t="s">
        <v>85</v>
      </c>
      <c r="C49" t="s">
        <v>7</v>
      </c>
      <c r="D49" s="3">
        <v>5200000</v>
      </c>
      <c r="E49">
        <v>58</v>
      </c>
      <c r="F49">
        <f t="shared" si="0"/>
        <v>301600000</v>
      </c>
      <c r="G49">
        <v>10.199999999999999</v>
      </c>
      <c r="H49">
        <f t="shared" si="1"/>
        <v>3076320000</v>
      </c>
      <c r="I49" t="s">
        <v>8</v>
      </c>
      <c r="J49" s="3">
        <v>10200000</v>
      </c>
      <c r="K49">
        <v>182</v>
      </c>
      <c r="L49">
        <f t="shared" si="2"/>
        <v>1856400000</v>
      </c>
      <c r="M49">
        <v>3.52</v>
      </c>
      <c r="N49">
        <f t="shared" si="3"/>
        <v>6534528000</v>
      </c>
      <c r="O49" s="1" t="s">
        <v>91</v>
      </c>
      <c r="P49">
        <v>4300</v>
      </c>
      <c r="Q49">
        <v>191</v>
      </c>
      <c r="R49">
        <f t="shared" si="4"/>
        <v>9610848000</v>
      </c>
    </row>
    <row r="50" spans="1:18" x14ac:dyDescent="0.3">
      <c r="A50">
        <v>2020</v>
      </c>
      <c r="B50" t="s">
        <v>96</v>
      </c>
      <c r="C50" t="s">
        <v>7</v>
      </c>
      <c r="D50" s="3">
        <v>4950000</v>
      </c>
      <c r="E50">
        <v>55</v>
      </c>
      <c r="F50">
        <f t="shared" si="0"/>
        <v>272250000</v>
      </c>
      <c r="G50">
        <v>11.3</v>
      </c>
      <c r="H50">
        <f t="shared" si="1"/>
        <v>3076425000</v>
      </c>
      <c r="I50" t="s">
        <v>8</v>
      </c>
      <c r="J50" s="3">
        <v>3550000</v>
      </c>
      <c r="K50">
        <v>164</v>
      </c>
      <c r="L50">
        <f t="shared" si="2"/>
        <v>582200000</v>
      </c>
      <c r="M50">
        <v>3.91</v>
      </c>
      <c r="N50">
        <f t="shared" si="3"/>
        <v>2276402000</v>
      </c>
      <c r="O50" s="1" t="s">
        <v>102</v>
      </c>
      <c r="P50">
        <v>6440</v>
      </c>
      <c r="Q50">
        <v>155</v>
      </c>
      <c r="R50">
        <f t="shared" si="4"/>
        <v>5352827000</v>
      </c>
    </row>
    <row r="51" spans="1:18" x14ac:dyDescent="0.3">
      <c r="A51">
        <v>2020</v>
      </c>
      <c r="B51" t="s">
        <v>107</v>
      </c>
      <c r="C51" t="s">
        <v>7</v>
      </c>
      <c r="D51" s="3">
        <v>2020000</v>
      </c>
      <c r="E51">
        <v>52</v>
      </c>
      <c r="F51">
        <f t="shared" si="0"/>
        <v>105040000</v>
      </c>
      <c r="G51">
        <v>10.4</v>
      </c>
      <c r="H51">
        <f t="shared" si="1"/>
        <v>1092416000</v>
      </c>
      <c r="I51" t="s">
        <v>8</v>
      </c>
      <c r="J51" s="3">
        <v>3950000</v>
      </c>
      <c r="K51">
        <v>166</v>
      </c>
      <c r="L51">
        <f t="shared" si="2"/>
        <v>655700000</v>
      </c>
      <c r="M51">
        <v>3.43</v>
      </c>
      <c r="N51">
        <f t="shared" si="3"/>
        <v>2249051000</v>
      </c>
      <c r="O51" s="2" t="s">
        <v>113</v>
      </c>
      <c r="P51">
        <v>4840</v>
      </c>
      <c r="Q51">
        <v>142</v>
      </c>
      <c r="R51">
        <f t="shared" si="4"/>
        <v>3341467000</v>
      </c>
    </row>
    <row r="52" spans="1:18" x14ac:dyDescent="0.3">
      <c r="A52">
        <v>2019</v>
      </c>
      <c r="B52" t="s">
        <v>6</v>
      </c>
      <c r="C52" t="s">
        <v>7</v>
      </c>
      <c r="D52" s="3">
        <v>9950000</v>
      </c>
      <c r="E52">
        <v>54</v>
      </c>
      <c r="F52">
        <f t="shared" si="0"/>
        <v>537300000</v>
      </c>
      <c r="G52">
        <v>8.84</v>
      </c>
      <c r="H52">
        <f t="shared" si="1"/>
        <v>4749732000</v>
      </c>
      <c r="I52" t="s">
        <v>8</v>
      </c>
      <c r="J52" s="3">
        <v>10500000</v>
      </c>
      <c r="K52">
        <v>191</v>
      </c>
      <c r="L52">
        <f t="shared" si="2"/>
        <v>2005500000</v>
      </c>
      <c r="M52">
        <v>4.46</v>
      </c>
      <c r="N52">
        <f t="shared" si="3"/>
        <v>8944530000</v>
      </c>
      <c r="O52" s="1" t="s">
        <v>13</v>
      </c>
      <c r="P52">
        <v>7300</v>
      </c>
      <c r="Q52">
        <v>222</v>
      </c>
      <c r="R52">
        <f t="shared" si="4"/>
        <v>13694262000</v>
      </c>
    </row>
    <row r="53" spans="1:18" x14ac:dyDescent="0.3">
      <c r="A53">
        <v>2019</v>
      </c>
      <c r="B53" t="s">
        <v>19</v>
      </c>
      <c r="C53" t="s">
        <v>7</v>
      </c>
      <c r="D53" s="3">
        <v>5400000</v>
      </c>
      <c r="E53">
        <v>51</v>
      </c>
      <c r="F53">
        <f t="shared" si="0"/>
        <v>275400000</v>
      </c>
      <c r="G53">
        <v>8.92</v>
      </c>
      <c r="H53">
        <f t="shared" si="1"/>
        <v>2456568000</v>
      </c>
      <c r="I53" t="s">
        <v>8</v>
      </c>
      <c r="J53" s="3">
        <v>4950000</v>
      </c>
      <c r="K53">
        <v>187</v>
      </c>
      <c r="L53">
        <f t="shared" si="2"/>
        <v>925650000</v>
      </c>
      <c r="M53">
        <v>4.6500000000000004</v>
      </c>
      <c r="N53">
        <f t="shared" si="3"/>
        <v>4304272500</v>
      </c>
      <c r="O53" s="1" t="s">
        <v>24</v>
      </c>
      <c r="P53">
        <v>5970</v>
      </c>
      <c r="Q53">
        <v>194</v>
      </c>
      <c r="R53">
        <f t="shared" si="4"/>
        <v>6760840500</v>
      </c>
    </row>
    <row r="54" spans="1:18" x14ac:dyDescent="0.3">
      <c r="A54">
        <v>2019</v>
      </c>
      <c r="B54" t="s">
        <v>30</v>
      </c>
      <c r="C54" t="s">
        <v>7</v>
      </c>
      <c r="D54" s="3">
        <v>9200000</v>
      </c>
      <c r="E54">
        <v>55</v>
      </c>
      <c r="F54">
        <f t="shared" si="0"/>
        <v>506000000</v>
      </c>
      <c r="G54">
        <v>8.48</v>
      </c>
      <c r="H54">
        <f t="shared" si="1"/>
        <v>4290880000</v>
      </c>
      <c r="I54" t="s">
        <v>8</v>
      </c>
      <c r="J54" s="3">
        <v>13400000</v>
      </c>
      <c r="K54">
        <v>177</v>
      </c>
      <c r="L54">
        <f t="shared" si="2"/>
        <v>2371800000</v>
      </c>
      <c r="M54">
        <v>4.6399999999999997</v>
      </c>
      <c r="N54">
        <f t="shared" si="3"/>
        <v>11005152000</v>
      </c>
      <c r="O54" s="1" t="s">
        <v>35</v>
      </c>
      <c r="P54">
        <v>6970</v>
      </c>
      <c r="Q54">
        <v>230</v>
      </c>
      <c r="R54">
        <f t="shared" si="4"/>
        <v>15296032000</v>
      </c>
    </row>
    <row r="55" spans="1:18" x14ac:dyDescent="0.3">
      <c r="A55">
        <v>2019</v>
      </c>
      <c r="B55" t="s">
        <v>41</v>
      </c>
      <c r="C55" t="s">
        <v>7</v>
      </c>
      <c r="D55" s="3">
        <v>1700000</v>
      </c>
      <c r="E55">
        <v>46</v>
      </c>
      <c r="F55">
        <f t="shared" si="0"/>
        <v>78200000</v>
      </c>
      <c r="G55">
        <v>8.98</v>
      </c>
      <c r="H55">
        <f t="shared" si="1"/>
        <v>702236000</v>
      </c>
      <c r="I55" t="s">
        <v>8</v>
      </c>
      <c r="J55" s="3">
        <v>1550000</v>
      </c>
      <c r="K55">
        <v>184</v>
      </c>
      <c r="L55">
        <f t="shared" si="2"/>
        <v>285200000</v>
      </c>
      <c r="M55">
        <v>4.5199999999999996</v>
      </c>
      <c r="N55">
        <f t="shared" si="3"/>
        <v>1289103999.9999998</v>
      </c>
      <c r="O55" s="1" t="s">
        <v>46</v>
      </c>
      <c r="P55">
        <v>4490</v>
      </c>
      <c r="Q55">
        <v>146</v>
      </c>
      <c r="R55">
        <f t="shared" si="4"/>
        <v>1991339999.9999998</v>
      </c>
    </row>
    <row r="56" spans="1:18" x14ac:dyDescent="0.3">
      <c r="A56">
        <v>2019</v>
      </c>
      <c r="B56" t="s">
        <v>52</v>
      </c>
      <c r="C56" t="s">
        <v>7</v>
      </c>
      <c r="D56" s="3">
        <v>1760000</v>
      </c>
      <c r="E56">
        <v>40.5</v>
      </c>
      <c r="F56">
        <f t="shared" si="0"/>
        <v>71280000</v>
      </c>
      <c r="G56">
        <v>8.81</v>
      </c>
      <c r="H56">
        <f t="shared" si="1"/>
        <v>627976800</v>
      </c>
      <c r="I56" t="s">
        <v>8</v>
      </c>
      <c r="J56" s="3">
        <v>2000000</v>
      </c>
      <c r="K56">
        <v>153</v>
      </c>
      <c r="L56">
        <f t="shared" si="2"/>
        <v>306000000</v>
      </c>
      <c r="M56">
        <v>4.72</v>
      </c>
      <c r="N56">
        <f t="shared" si="3"/>
        <v>1444320000</v>
      </c>
      <c r="O56" s="1" t="s">
        <v>57</v>
      </c>
      <c r="P56">
        <v>4330</v>
      </c>
      <c r="Q56">
        <v>128</v>
      </c>
      <c r="R56">
        <f t="shared" si="4"/>
        <v>2072296800</v>
      </c>
    </row>
    <row r="57" spans="1:18" x14ac:dyDescent="0.3">
      <c r="A57">
        <v>2019</v>
      </c>
      <c r="B57" t="s">
        <v>63</v>
      </c>
      <c r="C57" t="s">
        <v>7</v>
      </c>
      <c r="D57" s="3">
        <v>6850000</v>
      </c>
      <c r="E57">
        <v>44</v>
      </c>
      <c r="F57">
        <f t="shared" si="0"/>
        <v>301400000</v>
      </c>
      <c r="G57">
        <v>8.2899999999999991</v>
      </c>
      <c r="H57">
        <f t="shared" si="1"/>
        <v>2498605999.9999995</v>
      </c>
      <c r="I57" t="s">
        <v>8</v>
      </c>
      <c r="J57" s="3">
        <v>7800000</v>
      </c>
      <c r="K57">
        <v>191</v>
      </c>
      <c r="L57">
        <f t="shared" si="2"/>
        <v>1489800000</v>
      </c>
      <c r="M57">
        <v>4.5199999999999996</v>
      </c>
      <c r="N57">
        <f t="shared" si="3"/>
        <v>6733895999.999999</v>
      </c>
      <c r="O57" s="1" t="s">
        <v>68</v>
      </c>
      <c r="P57">
        <v>4650</v>
      </c>
      <c r="Q57">
        <v>164</v>
      </c>
      <c r="R57">
        <f t="shared" si="4"/>
        <v>9232501999.9999981</v>
      </c>
    </row>
    <row r="58" spans="1:18" x14ac:dyDescent="0.3">
      <c r="A58">
        <v>2019</v>
      </c>
      <c r="B58" t="s">
        <v>74</v>
      </c>
      <c r="C58" t="s">
        <v>7</v>
      </c>
      <c r="D58" s="3">
        <v>5100000</v>
      </c>
      <c r="E58">
        <v>46</v>
      </c>
      <c r="F58">
        <f t="shared" si="0"/>
        <v>234600000</v>
      </c>
      <c r="G58">
        <v>8.75</v>
      </c>
      <c r="H58">
        <f t="shared" si="1"/>
        <v>2052750000</v>
      </c>
      <c r="I58" t="s">
        <v>8</v>
      </c>
      <c r="J58" s="3">
        <v>3200000</v>
      </c>
      <c r="K58">
        <v>170</v>
      </c>
      <c r="L58">
        <f t="shared" si="2"/>
        <v>544000000</v>
      </c>
      <c r="M58">
        <v>4.59</v>
      </c>
      <c r="N58">
        <f t="shared" si="3"/>
        <v>2496960000</v>
      </c>
      <c r="O58" s="1" t="s">
        <v>79</v>
      </c>
      <c r="P58">
        <v>3560</v>
      </c>
      <c r="Q58">
        <v>130</v>
      </c>
      <c r="R58">
        <f t="shared" si="4"/>
        <v>4549710000</v>
      </c>
    </row>
    <row r="59" spans="1:18" x14ac:dyDescent="0.3">
      <c r="A59">
        <v>2019</v>
      </c>
      <c r="B59" t="s">
        <v>85</v>
      </c>
      <c r="C59" t="s">
        <v>7</v>
      </c>
      <c r="D59" s="3">
        <v>4900000</v>
      </c>
      <c r="E59">
        <v>58.5</v>
      </c>
      <c r="F59">
        <f t="shared" si="0"/>
        <v>286650000</v>
      </c>
      <c r="G59">
        <v>8.27</v>
      </c>
      <c r="H59">
        <f t="shared" si="1"/>
        <v>2370595500</v>
      </c>
      <c r="I59" t="s">
        <v>8</v>
      </c>
      <c r="J59" s="3">
        <v>10100000</v>
      </c>
      <c r="K59">
        <v>180</v>
      </c>
      <c r="L59">
        <f t="shared" si="2"/>
        <v>1818000000</v>
      </c>
      <c r="M59">
        <v>4.47</v>
      </c>
      <c r="N59">
        <f t="shared" si="3"/>
        <v>8126460000</v>
      </c>
      <c r="O59" s="1" t="s">
        <v>90</v>
      </c>
      <c r="P59">
        <v>4170</v>
      </c>
      <c r="Q59">
        <v>197</v>
      </c>
      <c r="R59">
        <f t="shared" si="4"/>
        <v>10497055500</v>
      </c>
    </row>
    <row r="60" spans="1:18" x14ac:dyDescent="0.3">
      <c r="A60">
        <v>2019</v>
      </c>
      <c r="B60" t="s">
        <v>96</v>
      </c>
      <c r="C60" t="s">
        <v>7</v>
      </c>
      <c r="D60" s="3">
        <v>4300000</v>
      </c>
      <c r="E60">
        <v>49</v>
      </c>
      <c r="F60">
        <f t="shared" si="0"/>
        <v>210700000</v>
      </c>
      <c r="G60">
        <v>9.0399999999999991</v>
      </c>
      <c r="H60">
        <f t="shared" si="1"/>
        <v>1904727999.9999998</v>
      </c>
      <c r="I60" t="s">
        <v>8</v>
      </c>
      <c r="J60" s="3">
        <v>2800000</v>
      </c>
      <c r="K60">
        <v>171</v>
      </c>
      <c r="L60">
        <f t="shared" si="2"/>
        <v>478800000</v>
      </c>
      <c r="M60">
        <v>4.6900000000000004</v>
      </c>
      <c r="N60">
        <f t="shared" si="3"/>
        <v>2245572000</v>
      </c>
      <c r="O60" s="1" t="s">
        <v>101</v>
      </c>
      <c r="P60">
        <v>6540</v>
      </c>
      <c r="Q60">
        <v>156</v>
      </c>
      <c r="R60">
        <f t="shared" si="4"/>
        <v>4150300000</v>
      </c>
    </row>
    <row r="61" spans="1:18" x14ac:dyDescent="0.3">
      <c r="A61">
        <v>2019</v>
      </c>
      <c r="B61" t="s">
        <v>107</v>
      </c>
      <c r="C61" t="s">
        <v>7</v>
      </c>
      <c r="D61" s="3">
        <v>1750000</v>
      </c>
      <c r="E61">
        <v>47</v>
      </c>
      <c r="F61">
        <f t="shared" si="0"/>
        <v>82250000</v>
      </c>
      <c r="G61">
        <v>8.42</v>
      </c>
      <c r="H61">
        <f t="shared" si="1"/>
        <v>692545000</v>
      </c>
      <c r="I61" t="s">
        <v>8</v>
      </c>
      <c r="J61" s="3">
        <v>3800000</v>
      </c>
      <c r="K61">
        <v>173</v>
      </c>
      <c r="L61">
        <f t="shared" si="2"/>
        <v>657400000</v>
      </c>
      <c r="M61">
        <v>4.4400000000000004</v>
      </c>
      <c r="N61">
        <f t="shared" si="3"/>
        <v>2918856000.0000005</v>
      </c>
      <c r="O61" s="2" t="s">
        <v>112</v>
      </c>
      <c r="P61">
        <v>4740</v>
      </c>
      <c r="Q61">
        <v>146</v>
      </c>
      <c r="R61">
        <f t="shared" si="4"/>
        <v>3611401000.0000005</v>
      </c>
    </row>
    <row r="62" spans="1:18" x14ac:dyDescent="0.3">
      <c r="A62">
        <v>2018</v>
      </c>
      <c r="B62" t="s">
        <v>6</v>
      </c>
      <c r="C62" t="s">
        <v>7</v>
      </c>
      <c r="D62" s="3">
        <v>10800000</v>
      </c>
      <c r="E62">
        <v>63.5</v>
      </c>
      <c r="F62">
        <f t="shared" si="0"/>
        <v>685800000</v>
      </c>
      <c r="G62">
        <v>8.74</v>
      </c>
      <c r="H62">
        <f t="shared" si="1"/>
        <v>5993892000</v>
      </c>
      <c r="I62" t="s">
        <v>8</v>
      </c>
      <c r="J62" s="3">
        <v>11000000</v>
      </c>
      <c r="K62">
        <v>202</v>
      </c>
      <c r="L62">
        <f t="shared" si="2"/>
        <v>2222000000</v>
      </c>
      <c r="M62">
        <v>5.96</v>
      </c>
      <c r="N62">
        <f t="shared" si="3"/>
        <v>13243120000</v>
      </c>
      <c r="O62" s="1" t="s">
        <v>12</v>
      </c>
      <c r="P62">
        <v>7800</v>
      </c>
      <c r="Q62">
        <v>227</v>
      </c>
      <c r="R62">
        <f t="shared" si="4"/>
        <v>19237012000</v>
      </c>
    </row>
    <row r="63" spans="1:18" x14ac:dyDescent="0.3">
      <c r="A63">
        <v>2018</v>
      </c>
      <c r="B63" t="s">
        <v>19</v>
      </c>
      <c r="C63" t="s">
        <v>7</v>
      </c>
      <c r="D63" s="3">
        <v>6000000</v>
      </c>
      <c r="E63">
        <v>57.5</v>
      </c>
      <c r="F63">
        <f t="shared" si="0"/>
        <v>345000000</v>
      </c>
      <c r="G63">
        <v>8.73</v>
      </c>
      <c r="H63">
        <f t="shared" si="1"/>
        <v>3011850000</v>
      </c>
      <c r="I63" t="s">
        <v>8</v>
      </c>
      <c r="J63" s="3">
        <v>5300000</v>
      </c>
      <c r="K63">
        <v>195</v>
      </c>
      <c r="L63">
        <f t="shared" si="2"/>
        <v>1033500000</v>
      </c>
      <c r="M63">
        <v>6.07</v>
      </c>
      <c r="N63">
        <f t="shared" si="3"/>
        <v>6273345000</v>
      </c>
      <c r="O63" s="1" t="s">
        <v>23</v>
      </c>
      <c r="P63">
        <v>6420</v>
      </c>
      <c r="Q63">
        <v>200</v>
      </c>
      <c r="R63">
        <f t="shared" si="4"/>
        <v>9285195000</v>
      </c>
    </row>
    <row r="64" spans="1:18" x14ac:dyDescent="0.3">
      <c r="A64">
        <v>2018</v>
      </c>
      <c r="B64" t="s">
        <v>30</v>
      </c>
      <c r="C64" t="s">
        <v>7</v>
      </c>
      <c r="D64" s="3">
        <v>9950000</v>
      </c>
      <c r="E64">
        <v>56</v>
      </c>
      <c r="F64">
        <f t="shared" si="0"/>
        <v>557200000</v>
      </c>
      <c r="G64">
        <v>8.4600000000000009</v>
      </c>
      <c r="H64">
        <f t="shared" si="1"/>
        <v>4713912000</v>
      </c>
      <c r="I64" t="s">
        <v>8</v>
      </c>
      <c r="J64" s="3">
        <v>13200000</v>
      </c>
      <c r="K64">
        <v>204</v>
      </c>
      <c r="L64">
        <f t="shared" si="2"/>
        <v>2692800000</v>
      </c>
      <c r="M64">
        <v>6.1</v>
      </c>
      <c r="N64">
        <f t="shared" si="3"/>
        <v>16426079999.999998</v>
      </c>
      <c r="O64" s="1" t="s">
        <v>34</v>
      </c>
      <c r="P64">
        <v>7490</v>
      </c>
      <c r="Q64">
        <v>233</v>
      </c>
      <c r="R64">
        <f t="shared" si="4"/>
        <v>21139992000</v>
      </c>
    </row>
    <row r="65" spans="1:18" x14ac:dyDescent="0.3">
      <c r="A65">
        <v>2018</v>
      </c>
      <c r="B65" t="s">
        <v>41</v>
      </c>
      <c r="C65" t="s">
        <v>7</v>
      </c>
      <c r="D65" s="3">
        <v>1950000</v>
      </c>
      <c r="E65">
        <v>51</v>
      </c>
      <c r="F65">
        <f t="shared" si="0"/>
        <v>99450000</v>
      </c>
      <c r="G65">
        <v>8.7899999999999991</v>
      </c>
      <c r="H65">
        <f t="shared" si="1"/>
        <v>874165499.99999988</v>
      </c>
      <c r="I65" t="s">
        <v>8</v>
      </c>
      <c r="J65" s="3">
        <v>1330000</v>
      </c>
      <c r="K65">
        <v>192</v>
      </c>
      <c r="L65">
        <f t="shared" si="2"/>
        <v>255360000</v>
      </c>
      <c r="M65">
        <v>5.79</v>
      </c>
      <c r="N65">
        <f t="shared" si="3"/>
        <v>1478534400</v>
      </c>
      <c r="O65" s="1" t="s">
        <v>45</v>
      </c>
      <c r="P65">
        <v>4650</v>
      </c>
      <c r="Q65">
        <v>150</v>
      </c>
      <c r="R65">
        <f t="shared" si="4"/>
        <v>2352699900</v>
      </c>
    </row>
    <row r="66" spans="1:18" x14ac:dyDescent="0.3">
      <c r="A66">
        <v>2018</v>
      </c>
      <c r="B66" t="s">
        <v>52</v>
      </c>
      <c r="C66" t="s">
        <v>7</v>
      </c>
      <c r="D66" s="3">
        <v>2330000</v>
      </c>
      <c r="E66">
        <v>47.5</v>
      </c>
      <c r="F66">
        <f t="shared" si="0"/>
        <v>110675000</v>
      </c>
      <c r="G66">
        <v>8.5299999999999994</v>
      </c>
      <c r="H66">
        <f t="shared" si="1"/>
        <v>944057749.99999988</v>
      </c>
      <c r="I66" t="s">
        <v>8</v>
      </c>
      <c r="J66" s="3">
        <v>2250000</v>
      </c>
      <c r="K66">
        <v>174</v>
      </c>
      <c r="L66">
        <f t="shared" si="2"/>
        <v>391500000</v>
      </c>
      <c r="M66">
        <v>5.86</v>
      </c>
      <c r="N66">
        <f t="shared" si="3"/>
        <v>2294190000</v>
      </c>
      <c r="O66" s="1" t="s">
        <v>56</v>
      </c>
      <c r="P66">
        <v>4470</v>
      </c>
      <c r="Q66">
        <v>138</v>
      </c>
      <c r="R66">
        <f t="shared" si="4"/>
        <v>3238247750</v>
      </c>
    </row>
    <row r="67" spans="1:18" x14ac:dyDescent="0.3">
      <c r="A67">
        <v>2018</v>
      </c>
      <c r="B67" t="s">
        <v>63</v>
      </c>
      <c r="C67" t="s">
        <v>7</v>
      </c>
      <c r="D67" s="3">
        <v>7750000</v>
      </c>
      <c r="E67">
        <v>49</v>
      </c>
      <c r="F67">
        <f t="shared" ref="F67:F101" si="5">D67*E67</f>
        <v>379750000</v>
      </c>
      <c r="G67">
        <v>8.4</v>
      </c>
      <c r="H67">
        <f t="shared" ref="H67:H101" si="6">F67*G67</f>
        <v>3189900000</v>
      </c>
      <c r="I67" t="s">
        <v>8</v>
      </c>
      <c r="J67" s="3">
        <v>7900000</v>
      </c>
      <c r="K67">
        <v>177</v>
      </c>
      <c r="L67">
        <f t="shared" ref="L67:L101" si="7">J67*K67</f>
        <v>1398300000</v>
      </c>
      <c r="M67">
        <v>5.91</v>
      </c>
      <c r="N67">
        <f t="shared" ref="N67:N101" si="8">L67*M67</f>
        <v>8263953000</v>
      </c>
      <c r="O67" s="1" t="s">
        <v>67</v>
      </c>
      <c r="P67">
        <v>5030</v>
      </c>
      <c r="Q67">
        <v>177</v>
      </c>
      <c r="R67">
        <f t="shared" ref="R67:R101" si="9">F67*G67+L67*M67</f>
        <v>11453853000</v>
      </c>
    </row>
    <row r="68" spans="1:18" x14ac:dyDescent="0.3">
      <c r="A68">
        <v>2018</v>
      </c>
      <c r="B68" t="s">
        <v>74</v>
      </c>
      <c r="C68" t="s">
        <v>7</v>
      </c>
      <c r="D68" s="3">
        <v>5850000</v>
      </c>
      <c r="E68">
        <v>44.5</v>
      </c>
      <c r="F68">
        <f t="shared" si="5"/>
        <v>260325000</v>
      </c>
      <c r="G68">
        <v>8.56</v>
      </c>
      <c r="H68">
        <f t="shared" si="6"/>
        <v>2228382000</v>
      </c>
      <c r="I68" t="s">
        <v>8</v>
      </c>
      <c r="J68" s="3">
        <v>3500000</v>
      </c>
      <c r="K68">
        <v>159</v>
      </c>
      <c r="L68">
        <f t="shared" si="7"/>
        <v>556500000</v>
      </c>
      <c r="M68">
        <v>6.15</v>
      </c>
      <c r="N68">
        <f t="shared" si="8"/>
        <v>3422475000</v>
      </c>
      <c r="O68" s="1" t="s">
        <v>78</v>
      </c>
      <c r="P68">
        <v>3870</v>
      </c>
      <c r="Q68">
        <v>137</v>
      </c>
      <c r="R68">
        <f t="shared" si="9"/>
        <v>5650857000</v>
      </c>
    </row>
    <row r="69" spans="1:18" x14ac:dyDescent="0.3">
      <c r="A69">
        <v>2018</v>
      </c>
      <c r="B69" t="s">
        <v>85</v>
      </c>
      <c r="C69" t="s">
        <v>7</v>
      </c>
      <c r="D69" s="3">
        <v>5650000</v>
      </c>
      <c r="E69">
        <v>58</v>
      </c>
      <c r="F69">
        <f t="shared" si="5"/>
        <v>327700000</v>
      </c>
      <c r="G69">
        <v>8.1999999999999993</v>
      </c>
      <c r="H69">
        <f t="shared" si="6"/>
        <v>2687140000</v>
      </c>
      <c r="I69" t="s">
        <v>8</v>
      </c>
      <c r="J69" s="3">
        <v>9600000</v>
      </c>
      <c r="K69">
        <v>194</v>
      </c>
      <c r="L69">
        <f t="shared" si="7"/>
        <v>1862400000</v>
      </c>
      <c r="M69">
        <v>5.96</v>
      </c>
      <c r="N69">
        <f t="shared" si="8"/>
        <v>11099904000</v>
      </c>
      <c r="O69" s="1" t="s">
        <v>89</v>
      </c>
      <c r="P69">
        <v>4660</v>
      </c>
      <c r="Q69">
        <v>197</v>
      </c>
      <c r="R69">
        <f t="shared" si="9"/>
        <v>13787044000</v>
      </c>
    </row>
    <row r="70" spans="1:18" x14ac:dyDescent="0.3">
      <c r="A70">
        <v>2018</v>
      </c>
      <c r="B70" t="s">
        <v>96</v>
      </c>
      <c r="C70" t="s">
        <v>7</v>
      </c>
      <c r="D70" s="3">
        <v>5050000</v>
      </c>
      <c r="E70">
        <v>56</v>
      </c>
      <c r="F70">
        <f t="shared" si="5"/>
        <v>282800000</v>
      </c>
      <c r="G70">
        <v>8.69</v>
      </c>
      <c r="H70">
        <f t="shared" si="6"/>
        <v>2457532000</v>
      </c>
      <c r="I70" t="s">
        <v>8</v>
      </c>
      <c r="J70" s="3">
        <v>3500000</v>
      </c>
      <c r="K70">
        <v>193</v>
      </c>
      <c r="L70">
        <f t="shared" si="7"/>
        <v>675500000</v>
      </c>
      <c r="M70">
        <v>5.92</v>
      </c>
      <c r="N70">
        <f t="shared" si="8"/>
        <v>3998960000</v>
      </c>
      <c r="O70" s="1" t="s">
        <v>100</v>
      </c>
      <c r="P70">
        <v>6920</v>
      </c>
      <c r="Q70">
        <v>160</v>
      </c>
      <c r="R70">
        <f t="shared" si="9"/>
        <v>6456492000</v>
      </c>
    </row>
    <row r="71" spans="1:18" x14ac:dyDescent="0.3">
      <c r="A71">
        <v>2018</v>
      </c>
      <c r="B71" t="s">
        <v>107</v>
      </c>
      <c r="C71" t="s">
        <v>7</v>
      </c>
      <c r="D71" s="3">
        <v>2220000</v>
      </c>
      <c r="E71">
        <v>48</v>
      </c>
      <c r="F71">
        <f t="shared" si="5"/>
        <v>106560000</v>
      </c>
      <c r="G71">
        <v>8.49</v>
      </c>
      <c r="H71">
        <f t="shared" si="6"/>
        <v>904694400</v>
      </c>
      <c r="I71" t="s">
        <v>8</v>
      </c>
      <c r="J71" s="3">
        <v>3900000</v>
      </c>
      <c r="K71">
        <v>180</v>
      </c>
      <c r="L71">
        <f t="shared" si="7"/>
        <v>702000000</v>
      </c>
      <c r="M71">
        <v>6</v>
      </c>
      <c r="N71">
        <f t="shared" si="8"/>
        <v>4212000000</v>
      </c>
      <c r="O71" s="2" t="s">
        <v>111</v>
      </c>
      <c r="P71">
        <v>5240</v>
      </c>
      <c r="Q71">
        <v>138</v>
      </c>
      <c r="R71">
        <f t="shared" si="9"/>
        <v>5116694400</v>
      </c>
    </row>
    <row r="72" spans="1:18" x14ac:dyDescent="0.3">
      <c r="A72">
        <v>2017</v>
      </c>
      <c r="B72" t="s">
        <v>6</v>
      </c>
      <c r="C72" t="s">
        <v>7</v>
      </c>
      <c r="D72" s="3">
        <v>10600000</v>
      </c>
      <c r="E72">
        <v>58</v>
      </c>
      <c r="F72">
        <f t="shared" si="5"/>
        <v>614800000</v>
      </c>
      <c r="G72">
        <v>9.6</v>
      </c>
      <c r="H72">
        <f t="shared" si="6"/>
        <v>5902080000</v>
      </c>
      <c r="I72" t="s">
        <v>8</v>
      </c>
      <c r="J72" s="3">
        <v>11200000</v>
      </c>
      <c r="K72">
        <v>214</v>
      </c>
      <c r="L72">
        <f t="shared" si="7"/>
        <v>2396800000</v>
      </c>
      <c r="M72">
        <v>6.4</v>
      </c>
      <c r="N72">
        <f t="shared" si="8"/>
        <v>15339520000</v>
      </c>
      <c r="O72" s="1" t="s">
        <v>11</v>
      </c>
      <c r="P72">
        <v>8700</v>
      </c>
      <c r="Q72">
        <v>243</v>
      </c>
      <c r="R72">
        <f t="shared" si="9"/>
        <v>21241600000</v>
      </c>
    </row>
    <row r="73" spans="1:18" x14ac:dyDescent="0.3">
      <c r="A73">
        <v>2017</v>
      </c>
      <c r="B73" t="s">
        <v>19</v>
      </c>
      <c r="C73" t="s">
        <v>7</v>
      </c>
      <c r="D73" s="3">
        <v>5950000</v>
      </c>
      <c r="E73">
        <v>54</v>
      </c>
      <c r="F73">
        <f t="shared" si="5"/>
        <v>321300000</v>
      </c>
      <c r="G73">
        <v>9.61</v>
      </c>
      <c r="H73">
        <f t="shared" si="6"/>
        <v>3087693000</v>
      </c>
      <c r="I73" t="s">
        <v>8</v>
      </c>
      <c r="J73" s="3">
        <v>5350000</v>
      </c>
      <c r="K73">
        <v>190</v>
      </c>
      <c r="L73">
        <f t="shared" si="7"/>
        <v>1016500000</v>
      </c>
      <c r="M73">
        <v>6.48</v>
      </c>
      <c r="N73">
        <f t="shared" si="8"/>
        <v>6586920000</v>
      </c>
      <c r="O73" s="1" t="s">
        <v>22</v>
      </c>
      <c r="P73">
        <v>7170</v>
      </c>
      <c r="Q73">
        <v>212</v>
      </c>
      <c r="R73">
        <f t="shared" si="9"/>
        <v>9674613000</v>
      </c>
    </row>
    <row r="74" spans="1:18" x14ac:dyDescent="0.3">
      <c r="A74">
        <v>2017</v>
      </c>
      <c r="B74" t="s">
        <v>30</v>
      </c>
      <c r="C74" t="s">
        <v>7</v>
      </c>
      <c r="D74" s="3">
        <v>10000000</v>
      </c>
      <c r="E74">
        <v>57</v>
      </c>
      <c r="F74">
        <f t="shared" si="5"/>
        <v>570000000</v>
      </c>
      <c r="G74">
        <v>9.25</v>
      </c>
      <c r="H74">
        <f t="shared" si="6"/>
        <v>5272500000</v>
      </c>
      <c r="I74" t="s">
        <v>8</v>
      </c>
      <c r="J74" s="3">
        <v>13300000</v>
      </c>
      <c r="K74">
        <v>200</v>
      </c>
      <c r="L74">
        <f t="shared" si="7"/>
        <v>2660000000</v>
      </c>
      <c r="M74">
        <v>6.62</v>
      </c>
      <c r="N74">
        <f t="shared" si="8"/>
        <v>17609200000</v>
      </c>
      <c r="O74" s="1" t="s">
        <v>33</v>
      </c>
      <c r="P74">
        <v>8830</v>
      </c>
      <c r="Q74">
        <v>256</v>
      </c>
      <c r="R74">
        <f t="shared" si="9"/>
        <v>22881700000</v>
      </c>
    </row>
    <row r="75" spans="1:18" x14ac:dyDescent="0.3">
      <c r="A75">
        <v>2017</v>
      </c>
      <c r="B75" t="s">
        <v>41</v>
      </c>
      <c r="C75" t="s">
        <v>7</v>
      </c>
      <c r="D75" s="3">
        <v>1950000</v>
      </c>
      <c r="E75">
        <v>53</v>
      </c>
      <c r="F75">
        <f t="shared" si="5"/>
        <v>103350000</v>
      </c>
      <c r="G75">
        <v>9.6999999999999993</v>
      </c>
      <c r="H75">
        <f t="shared" si="6"/>
        <v>1002494999.9999999</v>
      </c>
      <c r="I75" t="s">
        <v>8</v>
      </c>
      <c r="J75" s="3">
        <v>1320000</v>
      </c>
      <c r="K75">
        <v>156</v>
      </c>
      <c r="L75">
        <f t="shared" si="7"/>
        <v>205920000</v>
      </c>
      <c r="M75">
        <v>6.72</v>
      </c>
      <c r="N75">
        <f t="shared" si="8"/>
        <v>1383782400</v>
      </c>
      <c r="O75" s="1" t="s">
        <v>44</v>
      </c>
      <c r="P75">
        <v>5200</v>
      </c>
      <c r="Q75">
        <v>157</v>
      </c>
      <c r="R75">
        <f t="shared" si="9"/>
        <v>2386277400</v>
      </c>
    </row>
    <row r="76" spans="1:18" x14ac:dyDescent="0.3">
      <c r="A76">
        <v>2017</v>
      </c>
      <c r="B76" t="s">
        <v>52</v>
      </c>
      <c r="C76" t="s">
        <v>7</v>
      </c>
      <c r="D76" s="3">
        <v>2280000</v>
      </c>
      <c r="E76">
        <v>42.5</v>
      </c>
      <c r="F76">
        <f t="shared" si="5"/>
        <v>96900000</v>
      </c>
      <c r="G76">
        <v>9.39</v>
      </c>
      <c r="H76">
        <f t="shared" si="6"/>
        <v>909891000</v>
      </c>
      <c r="I76" t="s">
        <v>8</v>
      </c>
      <c r="J76" s="3">
        <v>2250000</v>
      </c>
      <c r="K76">
        <v>168</v>
      </c>
      <c r="L76">
        <f t="shared" si="7"/>
        <v>378000000</v>
      </c>
      <c r="M76">
        <v>6.16</v>
      </c>
      <c r="N76">
        <f t="shared" si="8"/>
        <v>2328480000</v>
      </c>
      <c r="O76" s="1" t="s">
        <v>55</v>
      </c>
      <c r="P76">
        <v>4960</v>
      </c>
      <c r="Q76">
        <v>144</v>
      </c>
      <c r="R76">
        <f t="shared" si="9"/>
        <v>3238371000</v>
      </c>
    </row>
    <row r="77" spans="1:18" x14ac:dyDescent="0.3">
      <c r="A77">
        <v>2017</v>
      </c>
      <c r="B77" t="s">
        <v>63</v>
      </c>
      <c r="C77" t="s">
        <v>7</v>
      </c>
      <c r="D77" s="3">
        <v>8150000</v>
      </c>
      <c r="E77">
        <v>47.5</v>
      </c>
      <c r="F77">
        <f t="shared" si="5"/>
        <v>387125000</v>
      </c>
      <c r="G77">
        <v>9.17</v>
      </c>
      <c r="H77">
        <f t="shared" si="6"/>
        <v>3549936250</v>
      </c>
      <c r="I77" t="s">
        <v>8</v>
      </c>
      <c r="J77" s="3">
        <v>8050000</v>
      </c>
      <c r="K77">
        <v>195</v>
      </c>
      <c r="L77">
        <f t="shared" si="7"/>
        <v>1569750000</v>
      </c>
      <c r="M77">
        <v>6.27</v>
      </c>
      <c r="N77">
        <f t="shared" si="8"/>
        <v>9842332500</v>
      </c>
      <c r="O77" s="1" t="s">
        <v>66</v>
      </c>
      <c r="P77">
        <v>5830</v>
      </c>
      <c r="Q77">
        <v>185</v>
      </c>
      <c r="R77">
        <f t="shared" si="9"/>
        <v>13392268750</v>
      </c>
    </row>
    <row r="78" spans="1:18" x14ac:dyDescent="0.3">
      <c r="A78">
        <v>2017</v>
      </c>
      <c r="B78" t="s">
        <v>74</v>
      </c>
      <c r="C78" t="s">
        <v>7</v>
      </c>
      <c r="D78" s="3">
        <v>5950000</v>
      </c>
      <c r="E78">
        <v>49.5</v>
      </c>
      <c r="F78">
        <f t="shared" si="5"/>
        <v>294525000</v>
      </c>
      <c r="G78">
        <v>9.48</v>
      </c>
      <c r="H78">
        <f t="shared" si="6"/>
        <v>2792097000</v>
      </c>
      <c r="I78" t="s">
        <v>8</v>
      </c>
      <c r="J78" s="3">
        <v>3400000</v>
      </c>
      <c r="K78">
        <v>161</v>
      </c>
      <c r="L78">
        <f t="shared" si="7"/>
        <v>547400000</v>
      </c>
      <c r="M78">
        <v>6.71</v>
      </c>
      <c r="N78">
        <f t="shared" si="8"/>
        <v>3673054000</v>
      </c>
      <c r="O78" s="1" t="s">
        <v>77</v>
      </c>
      <c r="P78">
        <v>4400</v>
      </c>
      <c r="Q78">
        <v>147</v>
      </c>
      <c r="R78">
        <f t="shared" si="9"/>
        <v>6465151000</v>
      </c>
    </row>
    <row r="79" spans="1:18" x14ac:dyDescent="0.3">
      <c r="A79">
        <v>2017</v>
      </c>
      <c r="B79" t="s">
        <v>85</v>
      </c>
      <c r="C79" t="s">
        <v>7</v>
      </c>
      <c r="D79" s="3">
        <v>5700000</v>
      </c>
      <c r="E79">
        <v>57.5</v>
      </c>
      <c r="F79">
        <f t="shared" si="5"/>
        <v>327750000</v>
      </c>
      <c r="G79">
        <v>9.08</v>
      </c>
      <c r="H79">
        <f t="shared" si="6"/>
        <v>2975970000</v>
      </c>
      <c r="I79" t="s">
        <v>8</v>
      </c>
      <c r="J79" s="3">
        <v>9550000</v>
      </c>
      <c r="K79">
        <v>165</v>
      </c>
      <c r="L79">
        <f t="shared" si="7"/>
        <v>1575750000</v>
      </c>
      <c r="M79">
        <v>6.77</v>
      </c>
      <c r="N79">
        <f t="shared" si="8"/>
        <v>10667827500</v>
      </c>
      <c r="O79" s="1" t="s">
        <v>88</v>
      </c>
      <c r="P79">
        <v>5520</v>
      </c>
      <c r="Q79">
        <v>211</v>
      </c>
      <c r="R79">
        <f t="shared" si="9"/>
        <v>13643797500</v>
      </c>
    </row>
    <row r="80" spans="1:18" x14ac:dyDescent="0.3">
      <c r="A80">
        <v>2017</v>
      </c>
      <c r="B80" t="s">
        <v>96</v>
      </c>
      <c r="C80" t="s">
        <v>7</v>
      </c>
      <c r="D80" s="3">
        <v>5100000</v>
      </c>
      <c r="E80">
        <v>49.5</v>
      </c>
      <c r="F80">
        <f t="shared" si="5"/>
        <v>252450000</v>
      </c>
      <c r="G80">
        <v>9.6199999999999992</v>
      </c>
      <c r="H80">
        <f t="shared" si="6"/>
        <v>2428569000</v>
      </c>
      <c r="I80" t="s">
        <v>8</v>
      </c>
      <c r="J80" s="3">
        <v>3400000</v>
      </c>
      <c r="K80">
        <v>187</v>
      </c>
      <c r="L80">
        <f t="shared" si="7"/>
        <v>635800000</v>
      </c>
      <c r="M80">
        <v>6.28</v>
      </c>
      <c r="N80">
        <f t="shared" si="8"/>
        <v>3992824000</v>
      </c>
      <c r="O80" s="1" t="s">
        <v>99</v>
      </c>
      <c r="P80">
        <v>7740</v>
      </c>
      <c r="Q80">
        <v>170</v>
      </c>
      <c r="R80">
        <f t="shared" si="9"/>
        <v>6421393000</v>
      </c>
    </row>
    <row r="81" spans="1:18" x14ac:dyDescent="0.3">
      <c r="A81">
        <v>2017</v>
      </c>
      <c r="B81" t="s">
        <v>107</v>
      </c>
      <c r="C81" t="s">
        <v>7</v>
      </c>
      <c r="D81" s="3">
        <v>2150000</v>
      </c>
      <c r="E81">
        <v>47.5</v>
      </c>
      <c r="F81">
        <f t="shared" si="5"/>
        <v>102125000</v>
      </c>
      <c r="G81">
        <v>9.34</v>
      </c>
      <c r="H81">
        <f t="shared" si="6"/>
        <v>953847500</v>
      </c>
      <c r="I81" t="s">
        <v>8</v>
      </c>
      <c r="J81" s="3">
        <v>3900000</v>
      </c>
      <c r="K81">
        <v>180</v>
      </c>
      <c r="L81">
        <f t="shared" si="7"/>
        <v>702000000</v>
      </c>
      <c r="M81">
        <v>6.11</v>
      </c>
      <c r="N81">
        <f t="shared" si="8"/>
        <v>4289220000</v>
      </c>
      <c r="O81" s="2" t="s">
        <v>110</v>
      </c>
      <c r="P81">
        <v>5940</v>
      </c>
      <c r="Q81">
        <v>149</v>
      </c>
      <c r="R81">
        <f t="shared" si="9"/>
        <v>5243067500</v>
      </c>
    </row>
    <row r="82" spans="1:18" x14ac:dyDescent="0.3">
      <c r="A82">
        <v>2016</v>
      </c>
      <c r="B82" t="s">
        <v>6</v>
      </c>
      <c r="C82" t="s">
        <v>7</v>
      </c>
      <c r="D82" s="3">
        <v>10100000</v>
      </c>
      <c r="E82">
        <v>59</v>
      </c>
      <c r="F82">
        <f t="shared" si="5"/>
        <v>595900000</v>
      </c>
      <c r="G82">
        <v>9.7799999999999994</v>
      </c>
      <c r="H82">
        <f t="shared" si="6"/>
        <v>5827902000</v>
      </c>
      <c r="I82" t="s">
        <v>8</v>
      </c>
      <c r="J82" s="3">
        <v>11600000</v>
      </c>
      <c r="K82">
        <v>206</v>
      </c>
      <c r="L82">
        <f t="shared" si="7"/>
        <v>2389600000</v>
      </c>
      <c r="M82">
        <v>4.46</v>
      </c>
      <c r="N82">
        <f t="shared" si="8"/>
        <v>10657616000</v>
      </c>
      <c r="O82" s="1" t="s">
        <v>10</v>
      </c>
      <c r="P82">
        <v>9250</v>
      </c>
      <c r="Q82">
        <v>259</v>
      </c>
      <c r="R82">
        <f t="shared" si="9"/>
        <v>16485518000</v>
      </c>
    </row>
    <row r="83" spans="1:18" x14ac:dyDescent="0.3">
      <c r="A83">
        <v>2016</v>
      </c>
      <c r="B83" t="s">
        <v>19</v>
      </c>
      <c r="C83" t="s">
        <v>7</v>
      </c>
      <c r="D83" s="3">
        <v>5650000</v>
      </c>
      <c r="E83">
        <v>57.5</v>
      </c>
      <c r="F83">
        <f t="shared" si="5"/>
        <v>324875000</v>
      </c>
      <c r="G83">
        <v>9.69</v>
      </c>
      <c r="H83">
        <f t="shared" si="6"/>
        <v>3148038750</v>
      </c>
      <c r="I83" t="s">
        <v>8</v>
      </c>
      <c r="J83" s="3">
        <v>5600000</v>
      </c>
      <c r="K83">
        <v>203</v>
      </c>
      <c r="L83">
        <f t="shared" si="7"/>
        <v>1136800000</v>
      </c>
      <c r="M83">
        <v>4.5</v>
      </c>
      <c r="N83">
        <f t="shared" si="8"/>
        <v>5115600000</v>
      </c>
      <c r="O83" s="1" t="s">
        <v>21</v>
      </c>
      <c r="P83">
        <v>7620</v>
      </c>
      <c r="Q83">
        <v>226</v>
      </c>
      <c r="R83">
        <f t="shared" si="9"/>
        <v>8263638750</v>
      </c>
    </row>
    <row r="84" spans="1:18" x14ac:dyDescent="0.3">
      <c r="A84">
        <v>2016</v>
      </c>
      <c r="B84" t="s">
        <v>30</v>
      </c>
      <c r="C84" t="s">
        <v>7</v>
      </c>
      <c r="D84" s="3">
        <v>9500000</v>
      </c>
      <c r="E84">
        <v>60</v>
      </c>
      <c r="F84">
        <f t="shared" si="5"/>
        <v>570000000</v>
      </c>
      <c r="G84">
        <v>9.34</v>
      </c>
      <c r="H84">
        <f t="shared" si="6"/>
        <v>5323800000</v>
      </c>
      <c r="I84" t="s">
        <v>8</v>
      </c>
      <c r="J84" s="3">
        <v>13900000</v>
      </c>
      <c r="K84">
        <v>201</v>
      </c>
      <c r="L84">
        <f t="shared" si="7"/>
        <v>2793900000</v>
      </c>
      <c r="M84">
        <v>4.6100000000000003</v>
      </c>
      <c r="N84">
        <f t="shared" si="8"/>
        <v>12879879000</v>
      </c>
      <c r="O84" s="1" t="s">
        <v>32</v>
      </c>
      <c r="P84">
        <v>9410</v>
      </c>
      <c r="Q84">
        <v>269</v>
      </c>
      <c r="R84">
        <f t="shared" si="9"/>
        <v>18203679000</v>
      </c>
    </row>
    <row r="85" spans="1:18" x14ac:dyDescent="0.3">
      <c r="A85">
        <v>2016</v>
      </c>
      <c r="B85" t="s">
        <v>41</v>
      </c>
      <c r="C85" t="s">
        <v>7</v>
      </c>
      <c r="D85" s="3">
        <v>1790000</v>
      </c>
      <c r="E85">
        <v>50</v>
      </c>
      <c r="F85">
        <f t="shared" si="5"/>
        <v>89500000</v>
      </c>
      <c r="G85">
        <v>9.8699999999999992</v>
      </c>
      <c r="H85">
        <f t="shared" si="6"/>
        <v>883364999.99999988</v>
      </c>
      <c r="I85" t="s">
        <v>8</v>
      </c>
      <c r="J85" s="3">
        <v>1500000</v>
      </c>
      <c r="K85">
        <v>187</v>
      </c>
      <c r="L85">
        <f t="shared" si="7"/>
        <v>280500000</v>
      </c>
      <c r="M85">
        <v>4.75</v>
      </c>
      <c r="N85">
        <f t="shared" si="8"/>
        <v>1332375000</v>
      </c>
      <c r="O85" s="1" t="s">
        <v>43</v>
      </c>
      <c r="P85">
        <v>5720</v>
      </c>
      <c r="Q85">
        <v>168</v>
      </c>
      <c r="R85">
        <f t="shared" si="9"/>
        <v>2215740000</v>
      </c>
    </row>
    <row r="86" spans="1:18" x14ac:dyDescent="0.3">
      <c r="A86">
        <v>2016</v>
      </c>
      <c r="B86" t="s">
        <v>52</v>
      </c>
      <c r="C86" t="s">
        <v>7</v>
      </c>
      <c r="D86" s="3">
        <v>2070000</v>
      </c>
      <c r="E86">
        <v>50.5</v>
      </c>
      <c r="F86">
        <f t="shared" si="5"/>
        <v>104535000</v>
      </c>
      <c r="G86">
        <v>9.51</v>
      </c>
      <c r="H86">
        <f t="shared" si="6"/>
        <v>994127850</v>
      </c>
      <c r="I86" t="s">
        <v>8</v>
      </c>
      <c r="J86" s="3">
        <v>2400000</v>
      </c>
      <c r="K86">
        <v>168</v>
      </c>
      <c r="L86">
        <f t="shared" si="7"/>
        <v>403200000</v>
      </c>
      <c r="M86">
        <v>4.1900000000000004</v>
      </c>
      <c r="N86">
        <f t="shared" si="8"/>
        <v>1689408000.0000002</v>
      </c>
      <c r="O86" s="1" t="s">
        <v>54</v>
      </c>
      <c r="P86">
        <v>5420</v>
      </c>
      <c r="Q86">
        <v>148</v>
      </c>
      <c r="R86">
        <f t="shared" si="9"/>
        <v>2683535850</v>
      </c>
    </row>
    <row r="87" spans="1:18" x14ac:dyDescent="0.3">
      <c r="A87">
        <v>2016</v>
      </c>
      <c r="B87" t="s">
        <v>63</v>
      </c>
      <c r="C87" t="s">
        <v>7</v>
      </c>
      <c r="D87" s="3">
        <v>7550000</v>
      </c>
      <c r="E87">
        <v>52</v>
      </c>
      <c r="F87">
        <f t="shared" si="5"/>
        <v>392600000</v>
      </c>
      <c r="G87">
        <v>9.23</v>
      </c>
      <c r="H87">
        <f t="shared" si="6"/>
        <v>3623698000</v>
      </c>
      <c r="I87" t="s">
        <v>8</v>
      </c>
      <c r="J87" s="3">
        <v>8450000</v>
      </c>
      <c r="K87">
        <v>185</v>
      </c>
      <c r="L87">
        <f t="shared" si="7"/>
        <v>1563250000</v>
      </c>
      <c r="M87">
        <v>4.42</v>
      </c>
      <c r="N87">
        <f t="shared" si="8"/>
        <v>6909565000</v>
      </c>
      <c r="O87" s="1" t="s">
        <v>65</v>
      </c>
      <c r="P87">
        <v>6310</v>
      </c>
      <c r="Q87">
        <v>198</v>
      </c>
      <c r="R87">
        <f t="shared" si="9"/>
        <v>10533263000</v>
      </c>
    </row>
    <row r="88" spans="1:18" x14ac:dyDescent="0.3">
      <c r="A88">
        <v>2016</v>
      </c>
      <c r="B88" t="s">
        <v>74</v>
      </c>
      <c r="C88" t="s">
        <v>7</v>
      </c>
      <c r="D88" s="3">
        <v>5600000</v>
      </c>
      <c r="E88">
        <v>49</v>
      </c>
      <c r="F88">
        <f t="shared" si="5"/>
        <v>274400000</v>
      </c>
      <c r="G88">
        <v>9.6</v>
      </c>
      <c r="H88">
        <f t="shared" si="6"/>
        <v>2634240000</v>
      </c>
      <c r="I88" t="s">
        <v>8</v>
      </c>
      <c r="J88" s="3">
        <v>3650000</v>
      </c>
      <c r="K88">
        <v>153</v>
      </c>
      <c r="L88">
        <f t="shared" si="7"/>
        <v>558450000</v>
      </c>
      <c r="M88">
        <v>4.5999999999999996</v>
      </c>
      <c r="N88">
        <f t="shared" si="8"/>
        <v>2568870000</v>
      </c>
      <c r="O88" s="1" t="s">
        <v>76</v>
      </c>
      <c r="P88">
        <v>4720</v>
      </c>
      <c r="Q88">
        <v>149</v>
      </c>
      <c r="R88">
        <f t="shared" si="9"/>
        <v>5203110000</v>
      </c>
    </row>
    <row r="89" spans="1:18" x14ac:dyDescent="0.3">
      <c r="A89">
        <v>2016</v>
      </c>
      <c r="B89" t="s">
        <v>85</v>
      </c>
      <c r="C89" t="s">
        <v>7</v>
      </c>
      <c r="D89" s="3">
        <v>5200000</v>
      </c>
      <c r="E89">
        <v>61</v>
      </c>
      <c r="F89">
        <f t="shared" si="5"/>
        <v>317200000</v>
      </c>
      <c r="G89">
        <v>9.18</v>
      </c>
      <c r="H89">
        <f t="shared" si="6"/>
        <v>2911896000</v>
      </c>
      <c r="I89" t="s">
        <v>8</v>
      </c>
      <c r="J89" s="3">
        <v>9850000</v>
      </c>
      <c r="K89">
        <v>182</v>
      </c>
      <c r="L89">
        <f t="shared" si="7"/>
        <v>1792700000</v>
      </c>
      <c r="M89">
        <v>4.68</v>
      </c>
      <c r="N89">
        <f t="shared" si="8"/>
        <v>8389835999.999999</v>
      </c>
      <c r="O89" s="1" t="s">
        <v>87</v>
      </c>
      <c r="P89">
        <v>6150</v>
      </c>
      <c r="Q89">
        <v>220</v>
      </c>
      <c r="R89">
        <f t="shared" si="9"/>
        <v>11301732000</v>
      </c>
    </row>
    <row r="90" spans="1:18" x14ac:dyDescent="0.3">
      <c r="A90">
        <v>2016</v>
      </c>
      <c r="B90" t="s">
        <v>96</v>
      </c>
      <c r="C90" t="s">
        <v>7</v>
      </c>
      <c r="D90" s="3">
        <v>4850000</v>
      </c>
      <c r="E90">
        <v>54.5</v>
      </c>
      <c r="F90">
        <f t="shared" si="5"/>
        <v>264325000</v>
      </c>
      <c r="G90">
        <v>9.66</v>
      </c>
      <c r="H90">
        <f t="shared" si="6"/>
        <v>2553379500</v>
      </c>
      <c r="I90" t="s">
        <v>8</v>
      </c>
      <c r="J90" s="3">
        <v>3550000</v>
      </c>
      <c r="K90">
        <v>198</v>
      </c>
      <c r="L90">
        <f t="shared" si="7"/>
        <v>702900000</v>
      </c>
      <c r="M90">
        <v>4.3899999999999997</v>
      </c>
      <c r="N90">
        <f t="shared" si="8"/>
        <v>3085731000</v>
      </c>
      <c r="O90" s="1" t="s">
        <v>98</v>
      </c>
      <c r="P90">
        <v>8450</v>
      </c>
      <c r="Q90">
        <v>178</v>
      </c>
      <c r="R90">
        <f t="shared" si="9"/>
        <v>5639110500</v>
      </c>
    </row>
    <row r="91" spans="1:18" x14ac:dyDescent="0.3">
      <c r="A91">
        <v>2016</v>
      </c>
      <c r="B91" t="s">
        <v>107</v>
      </c>
      <c r="C91" t="s">
        <v>7</v>
      </c>
      <c r="D91" s="3">
        <v>1960000</v>
      </c>
      <c r="E91">
        <v>55</v>
      </c>
      <c r="F91">
        <f t="shared" si="5"/>
        <v>107800000</v>
      </c>
      <c r="G91">
        <v>9.36</v>
      </c>
      <c r="H91">
        <f t="shared" si="6"/>
        <v>1009007999.9999999</v>
      </c>
      <c r="I91" t="s">
        <v>8</v>
      </c>
      <c r="J91" s="3">
        <v>4050000</v>
      </c>
      <c r="K91">
        <v>176</v>
      </c>
      <c r="L91">
        <f t="shared" si="7"/>
        <v>712800000</v>
      </c>
      <c r="M91">
        <v>4.29</v>
      </c>
      <c r="N91">
        <f t="shared" si="8"/>
        <v>3057912000</v>
      </c>
      <c r="O91" s="2" t="s">
        <v>109</v>
      </c>
      <c r="P91">
        <v>6620</v>
      </c>
      <c r="Q91">
        <v>156</v>
      </c>
      <c r="R91">
        <f t="shared" si="9"/>
        <v>4066920000</v>
      </c>
    </row>
    <row r="92" spans="1:18" x14ac:dyDescent="0.3">
      <c r="A92">
        <v>2015</v>
      </c>
      <c r="B92" t="s">
        <v>6</v>
      </c>
      <c r="C92" t="s">
        <v>7</v>
      </c>
      <c r="D92" s="3">
        <v>9800000</v>
      </c>
      <c r="E92">
        <v>56</v>
      </c>
      <c r="F92">
        <f t="shared" si="5"/>
        <v>548800000</v>
      </c>
      <c r="G92">
        <v>9.19</v>
      </c>
      <c r="H92">
        <f t="shared" si="6"/>
        <v>5043472000</v>
      </c>
      <c r="I92" t="s">
        <v>8</v>
      </c>
      <c r="J92" s="3">
        <v>11700000</v>
      </c>
      <c r="K92">
        <v>217</v>
      </c>
      <c r="L92">
        <f t="shared" si="7"/>
        <v>2538900000</v>
      </c>
      <c r="M92">
        <v>4.3</v>
      </c>
      <c r="N92">
        <f t="shared" si="8"/>
        <v>10917270000</v>
      </c>
      <c r="O92" s="1" t="s">
        <v>9</v>
      </c>
      <c r="P92">
        <v>9550</v>
      </c>
      <c r="Q92">
        <v>269</v>
      </c>
      <c r="R92">
        <f t="shared" si="9"/>
        <v>15960742000</v>
      </c>
    </row>
    <row r="93" spans="1:18" x14ac:dyDescent="0.3">
      <c r="A93">
        <v>2015</v>
      </c>
      <c r="B93" t="s">
        <v>19</v>
      </c>
      <c r="C93" t="s">
        <v>7</v>
      </c>
      <c r="D93" s="3">
        <v>5550000</v>
      </c>
      <c r="E93">
        <v>50</v>
      </c>
      <c r="F93">
        <f t="shared" si="5"/>
        <v>277500000</v>
      </c>
      <c r="G93">
        <v>9.16</v>
      </c>
      <c r="H93">
        <f t="shared" si="6"/>
        <v>2541900000</v>
      </c>
      <c r="I93" t="s">
        <v>8</v>
      </c>
      <c r="J93" s="3">
        <v>5650000</v>
      </c>
      <c r="K93">
        <v>198</v>
      </c>
      <c r="L93">
        <f t="shared" si="7"/>
        <v>1118700000</v>
      </c>
      <c r="M93">
        <v>4.3</v>
      </c>
      <c r="N93">
        <f t="shared" si="8"/>
        <v>4810410000</v>
      </c>
      <c r="O93" s="1" t="s">
        <v>20</v>
      </c>
      <c r="P93">
        <v>7870</v>
      </c>
      <c r="Q93">
        <v>231</v>
      </c>
      <c r="R93">
        <f t="shared" si="9"/>
        <v>7352310000</v>
      </c>
    </row>
    <row r="94" spans="1:18" x14ac:dyDescent="0.3">
      <c r="A94">
        <v>2015</v>
      </c>
      <c r="B94" t="s">
        <v>30</v>
      </c>
      <c r="C94" t="s">
        <v>7</v>
      </c>
      <c r="D94" s="3">
        <v>9850000</v>
      </c>
      <c r="E94">
        <v>56.5</v>
      </c>
      <c r="F94">
        <f t="shared" si="5"/>
        <v>556525000</v>
      </c>
      <c r="G94">
        <v>8.91</v>
      </c>
      <c r="H94">
        <f t="shared" si="6"/>
        <v>4958637750</v>
      </c>
      <c r="I94" t="s">
        <v>8</v>
      </c>
      <c r="J94" s="3">
        <v>13500000</v>
      </c>
      <c r="K94">
        <v>211</v>
      </c>
      <c r="L94">
        <f t="shared" si="7"/>
        <v>2848500000</v>
      </c>
      <c r="M94">
        <v>4.4000000000000004</v>
      </c>
      <c r="N94">
        <f t="shared" si="8"/>
        <v>12533400000.000002</v>
      </c>
      <c r="O94" s="1" t="s">
        <v>31</v>
      </c>
      <c r="P94">
        <v>9800</v>
      </c>
      <c r="Q94">
        <v>276</v>
      </c>
      <c r="R94">
        <f t="shared" si="9"/>
        <v>17492037750</v>
      </c>
    </row>
    <row r="95" spans="1:18" x14ac:dyDescent="0.3">
      <c r="A95">
        <v>2015</v>
      </c>
      <c r="B95" t="s">
        <v>41</v>
      </c>
      <c r="C95" t="s">
        <v>7</v>
      </c>
      <c r="D95" s="3">
        <v>1840000</v>
      </c>
      <c r="E95">
        <v>49</v>
      </c>
      <c r="F95">
        <f t="shared" si="5"/>
        <v>90160000</v>
      </c>
      <c r="G95">
        <v>9.24</v>
      </c>
      <c r="H95">
        <f t="shared" si="6"/>
        <v>833078400</v>
      </c>
      <c r="I95" t="s">
        <v>8</v>
      </c>
      <c r="J95" s="3">
        <v>1400000</v>
      </c>
      <c r="K95">
        <v>178</v>
      </c>
      <c r="L95">
        <f t="shared" si="7"/>
        <v>249200000</v>
      </c>
      <c r="M95">
        <v>4.5</v>
      </c>
      <c r="N95">
        <f t="shared" si="8"/>
        <v>1121400000</v>
      </c>
      <c r="O95" s="1" t="s">
        <v>42</v>
      </c>
      <c r="P95">
        <v>6220</v>
      </c>
      <c r="Q95">
        <v>171</v>
      </c>
      <c r="R95">
        <f t="shared" si="9"/>
        <v>1954478400</v>
      </c>
    </row>
    <row r="96" spans="1:18" x14ac:dyDescent="0.3">
      <c r="A96">
        <v>2015</v>
      </c>
      <c r="B96" t="s">
        <v>52</v>
      </c>
      <c r="C96" t="s">
        <v>7</v>
      </c>
      <c r="D96" s="3">
        <v>2030000</v>
      </c>
      <c r="E96">
        <v>49</v>
      </c>
      <c r="F96">
        <f t="shared" si="5"/>
        <v>99470000</v>
      </c>
      <c r="G96">
        <v>8.82</v>
      </c>
      <c r="H96">
        <f t="shared" si="6"/>
        <v>877325400</v>
      </c>
      <c r="I96" t="s">
        <v>8</v>
      </c>
      <c r="J96" s="3">
        <v>2350000</v>
      </c>
      <c r="K96">
        <v>181</v>
      </c>
      <c r="L96">
        <f t="shared" si="7"/>
        <v>425350000</v>
      </c>
      <c r="M96">
        <v>4.2</v>
      </c>
      <c r="N96">
        <f t="shared" si="8"/>
        <v>1786470000</v>
      </c>
      <c r="O96" s="1" t="s">
        <v>53</v>
      </c>
      <c r="P96">
        <v>5870</v>
      </c>
      <c r="Q96">
        <v>152</v>
      </c>
      <c r="R96">
        <f t="shared" si="9"/>
        <v>2663795400</v>
      </c>
    </row>
    <row r="97" spans="1:18" x14ac:dyDescent="0.3">
      <c r="A97">
        <v>2015</v>
      </c>
      <c r="B97" t="s">
        <v>63</v>
      </c>
      <c r="C97" t="s">
        <v>7</v>
      </c>
      <c r="D97" s="3">
        <v>7600000</v>
      </c>
      <c r="E97">
        <v>50</v>
      </c>
      <c r="F97">
        <f t="shared" si="5"/>
        <v>380000000</v>
      </c>
      <c r="G97">
        <v>8.75</v>
      </c>
      <c r="H97">
        <f t="shared" si="6"/>
        <v>3325000000</v>
      </c>
      <c r="I97" t="s">
        <v>8</v>
      </c>
      <c r="J97" s="3">
        <v>8100000</v>
      </c>
      <c r="K97">
        <v>174</v>
      </c>
      <c r="L97">
        <f t="shared" si="7"/>
        <v>1409400000</v>
      </c>
      <c r="M97">
        <v>4.3499999999999996</v>
      </c>
      <c r="N97">
        <f t="shared" si="8"/>
        <v>6130889999.999999</v>
      </c>
      <c r="O97" s="1" t="s">
        <v>64</v>
      </c>
      <c r="P97">
        <v>6540</v>
      </c>
      <c r="Q97">
        <v>200</v>
      </c>
      <c r="R97">
        <f t="shared" si="9"/>
        <v>9455890000</v>
      </c>
    </row>
    <row r="98" spans="1:18" x14ac:dyDescent="0.3">
      <c r="A98">
        <v>2015</v>
      </c>
      <c r="B98" t="s">
        <v>74</v>
      </c>
      <c r="C98" t="s">
        <v>7</v>
      </c>
      <c r="D98" s="3">
        <v>4550000</v>
      </c>
      <c r="E98">
        <v>40.5</v>
      </c>
      <c r="F98">
        <f t="shared" si="5"/>
        <v>184275000</v>
      </c>
      <c r="G98">
        <v>9.16</v>
      </c>
      <c r="H98">
        <f t="shared" si="6"/>
        <v>1687959000</v>
      </c>
      <c r="I98" t="s">
        <v>8</v>
      </c>
      <c r="J98" s="3">
        <v>3250000</v>
      </c>
      <c r="K98">
        <v>183</v>
      </c>
      <c r="L98">
        <f t="shared" si="7"/>
        <v>594750000</v>
      </c>
      <c r="M98">
        <v>4.25</v>
      </c>
      <c r="N98">
        <f t="shared" si="8"/>
        <v>2527687500</v>
      </c>
      <c r="O98" s="1" t="s">
        <v>75</v>
      </c>
      <c r="P98">
        <v>4910</v>
      </c>
      <c r="Q98">
        <v>156</v>
      </c>
      <c r="R98">
        <f t="shared" si="9"/>
        <v>4215646500</v>
      </c>
    </row>
    <row r="99" spans="1:18" x14ac:dyDescent="0.3">
      <c r="A99">
        <v>2015</v>
      </c>
      <c r="B99" t="s">
        <v>85</v>
      </c>
      <c r="C99" t="s">
        <v>7</v>
      </c>
      <c r="D99" s="3">
        <v>5300000</v>
      </c>
      <c r="E99">
        <v>58</v>
      </c>
      <c r="F99">
        <f t="shared" si="5"/>
        <v>307400000</v>
      </c>
      <c r="G99">
        <v>8.66</v>
      </c>
      <c r="H99">
        <f t="shared" si="6"/>
        <v>2662084000</v>
      </c>
      <c r="I99" t="s">
        <v>8</v>
      </c>
      <c r="J99" s="3">
        <v>9400000</v>
      </c>
      <c r="K99">
        <v>188</v>
      </c>
      <c r="L99">
        <f t="shared" si="7"/>
        <v>1767200000</v>
      </c>
      <c r="M99">
        <v>4.45</v>
      </c>
      <c r="N99">
        <f t="shared" si="8"/>
        <v>7864040000</v>
      </c>
      <c r="O99" s="1" t="s">
        <v>86</v>
      </c>
      <c r="P99">
        <v>6540</v>
      </c>
      <c r="Q99">
        <v>223</v>
      </c>
      <c r="R99">
        <f t="shared" si="9"/>
        <v>10526124000</v>
      </c>
    </row>
    <row r="100" spans="1:18" x14ac:dyDescent="0.3">
      <c r="A100">
        <v>2015</v>
      </c>
      <c r="B100" t="s">
        <v>96</v>
      </c>
      <c r="C100" t="s">
        <v>7</v>
      </c>
      <c r="D100" s="3">
        <v>4750000</v>
      </c>
      <c r="E100">
        <v>50</v>
      </c>
      <c r="F100">
        <f t="shared" si="5"/>
        <v>237500000</v>
      </c>
      <c r="G100">
        <v>9.16</v>
      </c>
      <c r="H100">
        <f t="shared" si="6"/>
        <v>2175500000</v>
      </c>
      <c r="I100" t="s">
        <v>8</v>
      </c>
      <c r="J100" s="3">
        <v>3550000</v>
      </c>
      <c r="K100">
        <v>177</v>
      </c>
      <c r="L100">
        <f t="shared" si="7"/>
        <v>628350000</v>
      </c>
      <c r="M100">
        <v>4.25</v>
      </c>
      <c r="N100">
        <f t="shared" si="8"/>
        <v>2670487500</v>
      </c>
      <c r="O100" s="1" t="s">
        <v>97</v>
      </c>
      <c r="P100">
        <v>9270</v>
      </c>
      <c r="Q100">
        <v>185</v>
      </c>
      <c r="R100">
        <f t="shared" si="9"/>
        <v>4845987500</v>
      </c>
    </row>
    <row r="101" spans="1:18" x14ac:dyDescent="0.3">
      <c r="A101">
        <v>2015</v>
      </c>
      <c r="B101" t="s">
        <v>107</v>
      </c>
      <c r="C101" t="s">
        <v>7</v>
      </c>
      <c r="D101" s="3">
        <v>1880000</v>
      </c>
      <c r="E101">
        <v>49.5</v>
      </c>
      <c r="F101">
        <f t="shared" si="5"/>
        <v>93060000</v>
      </c>
      <c r="G101">
        <v>8.73</v>
      </c>
      <c r="H101">
        <f t="shared" si="6"/>
        <v>812413800</v>
      </c>
      <c r="I101" t="s">
        <v>8</v>
      </c>
      <c r="J101" s="3">
        <v>4000000</v>
      </c>
      <c r="K101">
        <v>174</v>
      </c>
      <c r="L101">
        <f t="shared" si="7"/>
        <v>696000000</v>
      </c>
      <c r="M101">
        <v>4.4000000000000004</v>
      </c>
      <c r="N101">
        <f t="shared" si="8"/>
        <v>3062400000.0000005</v>
      </c>
      <c r="O101" s="2" t="s">
        <v>108</v>
      </c>
      <c r="P101">
        <v>6800</v>
      </c>
      <c r="Q101">
        <v>162</v>
      </c>
      <c r="R101">
        <f t="shared" si="9"/>
        <v>3874813800.0000005</v>
      </c>
    </row>
  </sheetData>
  <sortState xmlns:xlrd2="http://schemas.microsoft.com/office/spreadsheetml/2017/richdata2" ref="A2:Q102">
    <sortCondition descending="1" ref="A1:A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Albers, Matthew D.</dc:creator>
  <cp:lastModifiedBy>Albers, Matthew D.</cp:lastModifiedBy>
  <dcterms:created xsi:type="dcterms:W3CDTF">2025-10-07T04:52:46Z</dcterms:created>
  <dcterms:modified xsi:type="dcterms:W3CDTF">2026-04-13T00:38:39Z</dcterms:modified>
</cp:coreProperties>
</file>